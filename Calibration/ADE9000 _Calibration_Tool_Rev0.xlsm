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oelkerb/Downloads/ADE9000-Calibration-Tool/"/>
    </mc:Choice>
  </mc:AlternateContent>
  <xr:revisionPtr revIDLastSave="0" documentId="13_ncr:1_{D13FEFD4-B602-C14C-989A-268095885BB6}" xr6:coauthVersionLast="46" xr6:coauthVersionMax="46" xr10:uidLastSave="{00000000-0000-0000-0000-000000000000}"/>
  <bookViews>
    <workbookView xWindow="0" yWindow="0" windowWidth="48480" windowHeight="25720" activeTab="1" xr2:uid="{00000000-000D-0000-FFFF-FFFF00000000}"/>
  </bookViews>
  <sheets>
    <sheet name="Configuration Guide" sheetId="4" r:id="rId1"/>
    <sheet name="Calibration_Tool" sheetId="2" r:id="rId2"/>
    <sheet name="Constants and config" sheetId="3" r:id="rId3"/>
  </sheets>
  <definedNames>
    <definedName name="Current_Sensor_Type">Calibration_Tool!$B$5</definedName>
    <definedName name="fDSP">'Constants and config'!$B$15</definedName>
    <definedName name="Voltage_Sensor_Type">Calibration_Tool!$B$6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A92" i="2" l="1"/>
  <c r="A96" i="2"/>
  <c r="A54" i="2"/>
  <c r="A53" i="2"/>
  <c r="A58" i="2"/>
  <c r="A57" i="2"/>
  <c r="A64" i="2" l="1"/>
  <c r="A97" i="2" l="1"/>
  <c r="A95" i="2"/>
  <c r="A94" i="2"/>
  <c r="A79" i="2"/>
  <c r="A69" i="2"/>
  <c r="A56" i="2"/>
  <c r="A55" i="2"/>
  <c r="A41" i="2"/>
  <c r="A40" i="2"/>
  <c r="A76" i="2" l="1"/>
  <c r="A67" i="2"/>
  <c r="A66" i="2"/>
  <c r="B61" i="2" l="1"/>
  <c r="A65" i="2"/>
  <c r="A93" i="2" l="1"/>
  <c r="A91" i="2"/>
  <c r="A90" i="2"/>
  <c r="A81" i="2"/>
  <c r="A80" i="2"/>
  <c r="A75" i="2"/>
  <c r="A78" i="2"/>
  <c r="A77" i="2"/>
  <c r="A52" i="2"/>
  <c r="A51" i="2"/>
  <c r="A43" i="2"/>
  <c r="A42" i="2"/>
  <c r="A39" i="2"/>
  <c r="A38" i="2"/>
  <c r="A37" i="2"/>
  <c r="A36" i="2"/>
  <c r="A21" i="2" l="1"/>
  <c r="A20" i="2"/>
  <c r="A17" i="2" l="1"/>
  <c r="B23" i="2" l="1"/>
  <c r="B25" i="2" l="1"/>
  <c r="B19" i="2"/>
  <c r="B26" i="2" s="1"/>
  <c r="A18" i="2"/>
  <c r="B31" i="2" l="1"/>
  <c r="B30" i="2"/>
  <c r="B28" i="2"/>
  <c r="B57" i="2"/>
  <c r="B29" i="2"/>
  <c r="B58" i="2"/>
  <c r="B65" i="2"/>
  <c r="B64" i="2"/>
  <c r="B68" i="2" s="1"/>
  <c r="B55" i="2"/>
  <c r="B39" i="2"/>
  <c r="B45" i="2" s="1"/>
  <c r="B14" i="3"/>
  <c r="B16" i="3" s="1"/>
  <c r="B69" i="2" l="1"/>
  <c r="B41" i="2"/>
  <c r="B56" i="2"/>
  <c r="B77" i="2" l="1"/>
  <c r="B78" i="2"/>
  <c r="B38" i="2"/>
  <c r="B27" i="2"/>
  <c r="B97" i="2" l="1"/>
  <c r="B95" i="2"/>
  <c r="B96" i="2"/>
  <c r="B94" i="2"/>
  <c r="B83" i="2"/>
  <c r="B40" i="2"/>
  <c r="B44" i="2"/>
  <c r="B79" i="2" l="1"/>
  <c r="B8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Chandrappa, Niranjan</author>
  </authors>
  <commentList>
    <comment ref="B36" authorId="0" shapeId="0" xr:uid="{00000000-0006-0000-0100-000001000000}">
      <text>
        <r>
          <rPr>
            <sz val="9"/>
            <color rgb="FF000000"/>
            <rFont val="Tahoma"/>
            <family val="2"/>
          </rPr>
          <t>Recommended to use average of 100 RMS readings</t>
        </r>
      </text>
    </comment>
    <comment ref="B37" authorId="0" shapeId="0" xr:uid="{00000000-0006-0000-0100-000002000000}">
      <text>
        <r>
          <rPr>
            <sz val="9"/>
            <color rgb="FF000000"/>
            <rFont val="Tahoma"/>
            <family val="2"/>
          </rPr>
          <t>Recommended to use average of 100 RMS readings</t>
        </r>
      </text>
    </comment>
    <comment ref="B9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<sst xmlns="http://schemas.openxmlformats.org/spreadsheetml/2006/main" count="222" uniqueCount="198">
  <si>
    <t>Nominal Current percentage 
of full scale</t>
    <phoneticPr fontId="0" type="noConversion"/>
  </si>
  <si>
    <t>Current Sensor</t>
  </si>
  <si>
    <t>Input configuration</t>
  </si>
  <si>
    <t>Single ended</t>
  </si>
  <si>
    <t>Differential</t>
  </si>
  <si>
    <t>Voltage Sensor</t>
  </si>
  <si>
    <t>Current Transformer</t>
  </si>
  <si>
    <t>Rogowski</t>
  </si>
  <si>
    <t>Resistor divider</t>
  </si>
  <si>
    <t>Voltage Transformer</t>
  </si>
  <si>
    <t>Other</t>
  </si>
  <si>
    <t>Full Scale Values</t>
  </si>
  <si>
    <t>RMS</t>
  </si>
  <si>
    <t>WATT</t>
  </si>
  <si>
    <t>Enter Angle between V and I(°)</t>
  </si>
  <si>
    <t>Fline</t>
  </si>
  <si>
    <t>fDSP</t>
  </si>
  <si>
    <t>Omega(rad)</t>
  </si>
  <si>
    <t>Step 3:Voltage and Current Gain Calibration</t>
  </si>
  <si>
    <t>Nominal Voltage percentage 
of full scale</t>
  </si>
  <si>
    <t>Step 2: Seting up CF pulses</t>
  </si>
  <si>
    <t>Write this value to CFxDEN register</t>
  </si>
  <si>
    <t>Write this value to xTHR registers</t>
  </si>
  <si>
    <t>Write this value to xIGAIN register</t>
  </si>
  <si>
    <t>Write this value to xVGAIN register</t>
  </si>
  <si>
    <t>Step 4: Phase calibration</t>
  </si>
  <si>
    <t>Step 5: Power Gain Calibration</t>
  </si>
  <si>
    <t>Step 3.1: RMS offset calibration</t>
  </si>
  <si>
    <t>Step 5.1: Power offset calibration</t>
  </si>
  <si>
    <t>Write this value to xPHCAL register</t>
  </si>
  <si>
    <t>Select Current Sensor</t>
  </si>
  <si>
    <t>Select Voltage Sensor</t>
  </si>
  <si>
    <t>Enter Nominal RMS Input Voltage(Vrms)</t>
  </si>
  <si>
    <t>Enter Nominal RMS Input Current(Arms)</t>
  </si>
  <si>
    <t>Write this value to xPGAIN register</t>
  </si>
  <si>
    <t>CFxDEN Register(hex)</t>
  </si>
  <si>
    <t>Select Channel Being Calibrated</t>
  </si>
  <si>
    <t>Channel</t>
  </si>
  <si>
    <t>Channel A</t>
  </si>
  <si>
    <t>Channel B</t>
  </si>
  <si>
    <t>Channel C</t>
  </si>
  <si>
    <t>Neutral</t>
  </si>
  <si>
    <t>Calibration method</t>
  </si>
  <si>
    <t>Calibrate using CF</t>
  </si>
  <si>
    <t>Calibrate using Registers</t>
  </si>
  <si>
    <t>Calibrate using Error</t>
  </si>
  <si>
    <t>channel A</t>
  </si>
  <si>
    <t>Enter Meter Constant(impulses/kWHr)</t>
  </si>
  <si>
    <t>Active Energy Error after xPGAIN Calibration</t>
  </si>
  <si>
    <t xml:space="preserve">Reactive Energy Error after xPGAIN Calibration </t>
  </si>
  <si>
    <t>Default Gain =1</t>
  </si>
  <si>
    <t>Set PGA gain (xGAIN) Register</t>
  </si>
  <si>
    <t>PF=1/0 for active/reactive respectively. Nominal voltage</t>
  </si>
  <si>
    <t>Current Transfer Function(V/A)</t>
  </si>
  <si>
    <t>Voltage Transfer Function(V/V)</t>
  </si>
  <si>
    <t>Select Calibration technique</t>
  </si>
  <si>
    <t>RMS Calibration Methods</t>
  </si>
  <si>
    <t>Phase calibration methods</t>
  </si>
  <si>
    <t>Energy Calibration Methods</t>
  </si>
  <si>
    <t>Calibrate using Register values</t>
  </si>
  <si>
    <t>Calibrate using Impulses/kWHr</t>
  </si>
  <si>
    <t xml:space="preserve">Enter Energy Accumulation Time(sec) </t>
  </si>
  <si>
    <t>Enter Line Frequency(Hz)</t>
  </si>
  <si>
    <t>Voltage Sensor Input Configuration</t>
  </si>
  <si>
    <t>Current Sensor Input Configuration</t>
  </si>
  <si>
    <t>Current Error after Compensation</t>
  </si>
  <si>
    <t>Voltage Error after Compensation</t>
  </si>
  <si>
    <t>Enter Offset Calibration Current(Arms)</t>
  </si>
  <si>
    <t>Enter Offset Calibration Voltage(Vrms)</t>
  </si>
  <si>
    <t>Enter Accumulation Time for Offset calibration(sec)</t>
  </si>
  <si>
    <t>Enter Calibration Current(Arms)</t>
  </si>
  <si>
    <t>Summary Table</t>
  </si>
  <si>
    <t>Step 1: Input Conditions</t>
  </si>
  <si>
    <t>Set SELFREQ to 50 or 60Hz in ACCMODE register</t>
  </si>
  <si>
    <t>Default =0 i.e. 50Hz</t>
  </si>
  <si>
    <t>Set VLEVEL for fundamental reactive power</t>
  </si>
  <si>
    <t>If using integrator, enable integrator in CONFIG0 register. Set DICOEFF to 0xFFFFE000 if integrator is enabled</t>
  </si>
  <si>
    <t>Integrator is disabled by default. DICOEFF=0 by default</t>
  </si>
  <si>
    <t>Change High pass filter(HPF_CRN) in CONFIG2 register frequency if required</t>
  </si>
  <si>
    <t>Default corner frequency is 0.625Hz (HPF_CRN=6)</t>
  </si>
  <si>
    <t>Default xTHR=0</t>
  </si>
  <si>
    <t>Enter input parameters in Step 1 and Step 2</t>
  </si>
  <si>
    <t>Set CFDEN, Configure CFMODE and COMPMODE. Set xTHR = 0x100000</t>
  </si>
  <si>
    <t>Perform phase calibration at the nominal inputs and lagging angle of 60degrees. Program xPHCAL register</t>
  </si>
  <si>
    <t>Perform Voltage and Current gain calibration(Step 3) if Accurate RMS readings are desired.Program xIRMS and xVRMS register</t>
  </si>
  <si>
    <t>Perform Voltage and Current offset calibration(Step 3) if Accurate RMS readings are desired at low dynamic range.Program xIRMSOS and xVRMSOS register</t>
  </si>
  <si>
    <t>Perform gain calibration at the nominal inputs 0 or 60 degrees phase. Program xPGAIN register</t>
  </si>
  <si>
    <t>Perform gain offset calibration at the nominal voltage and low current at 0degrees phase. Program xWATTOS , xVAROS and xFVAROS register</t>
  </si>
  <si>
    <t>Register Name</t>
  </si>
  <si>
    <t>Address(Hex)</t>
  </si>
  <si>
    <t>CF1DEN</t>
  </si>
  <si>
    <t>CF2DEN</t>
  </si>
  <si>
    <t xml:space="preserve">CF3DEN </t>
  </si>
  <si>
    <t>CF4DEN</t>
  </si>
  <si>
    <t xml:space="preserve">AIGAIN </t>
  </si>
  <si>
    <t xml:space="preserve">APGAIN </t>
  </si>
  <si>
    <t xml:space="preserve">AIRMSOS </t>
  </si>
  <si>
    <t xml:space="preserve">AVRMSOS </t>
  </si>
  <si>
    <t xml:space="preserve">AWATTOS </t>
  </si>
  <si>
    <t xml:space="preserve">AVAROS </t>
  </si>
  <si>
    <t xml:space="preserve">AFVAROS </t>
  </si>
  <si>
    <t xml:space="preserve">BIGAIN </t>
  </si>
  <si>
    <t xml:space="preserve">BVGAIN </t>
  </si>
  <si>
    <t xml:space="preserve">BPHCAL </t>
  </si>
  <si>
    <t xml:space="preserve">BPGAIN </t>
  </si>
  <si>
    <t xml:space="preserve">BIRMSOS </t>
  </si>
  <si>
    <t xml:space="preserve">BVRMSOS </t>
  </si>
  <si>
    <t xml:space="preserve">BWATTOS </t>
  </si>
  <si>
    <t xml:space="preserve">BVAROS </t>
  </si>
  <si>
    <t xml:space="preserve">BFVAROS </t>
  </si>
  <si>
    <t xml:space="preserve">CIGAIN </t>
  </si>
  <si>
    <t xml:space="preserve">CVGAIN </t>
  </si>
  <si>
    <t xml:space="preserve">CPHCAL </t>
  </si>
  <si>
    <t xml:space="preserve">CPGAIN </t>
  </si>
  <si>
    <t xml:space="preserve">CIRMSOS </t>
  </si>
  <si>
    <t xml:space="preserve">CVRMSOS </t>
  </si>
  <si>
    <t xml:space="preserve">CWATTOS </t>
  </si>
  <si>
    <t xml:space="preserve">CVAROS </t>
  </si>
  <si>
    <t xml:space="preserve">CFVAROS </t>
  </si>
  <si>
    <t xml:space="preserve">NIGAIN </t>
  </si>
  <si>
    <t xml:space="preserve">NIRMSOS </t>
  </si>
  <si>
    <t>AVGAIN</t>
  </si>
  <si>
    <t>APHCAL</t>
  </si>
  <si>
    <t xml:space="preserve">NPHCAL </t>
  </si>
  <si>
    <t>Expected CF at Nominal Conditions(Hz)</t>
  </si>
  <si>
    <t>Calibrate using meter Voltage&amp;Current output values</t>
  </si>
  <si>
    <t>Inputs</t>
  </si>
  <si>
    <t>Outputs</t>
  </si>
  <si>
    <t>Program xTHR to Recommended Value( xTHR=0x00100000)</t>
  </si>
  <si>
    <t>Enter Calibrating Angle between V and I(°)(positive angle for lagging PF)</t>
  </si>
  <si>
    <t>Calibrate using Energy Error</t>
  </si>
  <si>
    <t xml:space="preserve">Use a Non-Zero Current </t>
  </si>
  <si>
    <t>Use a Non-Zero Voltage</t>
  </si>
  <si>
    <r>
      <t>Desired Phase Error Compensation(</t>
    </r>
    <r>
      <rPr>
        <b/>
        <sz val="11"/>
        <color theme="1"/>
        <rFont val="Traditional Arabic"/>
        <family val="1"/>
      </rPr>
      <t>°</t>
    </r>
    <r>
      <rPr>
        <b/>
        <sz val="11"/>
        <color theme="1"/>
        <rFont val="Calibri"/>
        <family val="2"/>
        <scheme val="minor"/>
      </rPr>
      <t>)</t>
    </r>
  </si>
  <si>
    <t>**Donot Modify sheet**</t>
  </si>
  <si>
    <t>PGA_GAIN</t>
  </si>
  <si>
    <t xml:space="preserve">Enter Voltage PGA_GAIN </t>
  </si>
  <si>
    <t>Enter Current PGA_GAIN</t>
  </si>
  <si>
    <t xml:space="preserve">CFWATTOS </t>
  </si>
  <si>
    <t>CIFRMSOS</t>
  </si>
  <si>
    <t>CVFRMSOS</t>
  </si>
  <si>
    <t>BIFRMSOS</t>
  </si>
  <si>
    <t>BVFRMSOS</t>
  </si>
  <si>
    <t xml:space="preserve">BFWATTOS </t>
  </si>
  <si>
    <t>AIFRMSOS</t>
  </si>
  <si>
    <t>AVFRMSOS</t>
  </si>
  <si>
    <t xml:space="preserve">AFWATTOS </t>
  </si>
  <si>
    <t>Voltage Conversion Constant(uVrms/Code)</t>
  </si>
  <si>
    <t>Current Conversion Constant(uArms/Code)</t>
  </si>
  <si>
    <t>Power Conversion Constant(mWatt/Code)</t>
  </si>
  <si>
    <t>Done at PF=1 or lagging PF = 0.5</t>
  </si>
  <si>
    <t>Energy Conversion Constant ( uWxHr/xxTTHR_HI Code)</t>
  </si>
  <si>
    <t>0x494</t>
  </si>
  <si>
    <t>0x495</t>
  </si>
  <si>
    <t>0x496</t>
  </si>
  <si>
    <t>0x497</t>
  </si>
  <si>
    <t>0x000</t>
  </si>
  <si>
    <t>0x00B</t>
  </si>
  <si>
    <t>0x006</t>
  </si>
  <si>
    <t>0x00E</t>
  </si>
  <si>
    <t>0x00D</t>
  </si>
  <si>
    <t>0x00C</t>
  </si>
  <si>
    <t>0x00F</t>
  </si>
  <si>
    <t>0x010</t>
  </si>
  <si>
    <t>0x013</t>
  </si>
  <si>
    <t>0x014</t>
  </si>
  <si>
    <t>0x011</t>
  </si>
  <si>
    <t>0x012</t>
  </si>
  <si>
    <t>0x020</t>
  </si>
  <si>
    <t>0x02B</t>
  </si>
  <si>
    <t>0x026</t>
  </si>
  <si>
    <t>0x02E</t>
  </si>
  <si>
    <t>0x02C</t>
  </si>
  <si>
    <t>0x2D</t>
  </si>
  <si>
    <t>0x2F</t>
  </si>
  <si>
    <t>0x030</t>
  </si>
  <si>
    <t>0x033</t>
  </si>
  <si>
    <t>0x034</t>
  </si>
  <si>
    <t>0x031</t>
  </si>
  <si>
    <t>0x032</t>
  </si>
  <si>
    <t>0x040</t>
  </si>
  <si>
    <t>0x04B</t>
  </si>
  <si>
    <t>0x046</t>
  </si>
  <si>
    <t>0x04E</t>
  </si>
  <si>
    <t>0x04C</t>
  </si>
  <si>
    <t>0x04D</t>
  </si>
  <si>
    <t>0x04F</t>
  </si>
  <si>
    <t>0x050</t>
  </si>
  <si>
    <t>0x053</t>
  </si>
  <si>
    <t>0x054</t>
  </si>
  <si>
    <t>0x051</t>
  </si>
  <si>
    <t>0x052</t>
  </si>
  <si>
    <t>0x06D</t>
  </si>
  <si>
    <t>0x06E</t>
  </si>
  <si>
    <t>0x06B</t>
  </si>
  <si>
    <t>50.0</t>
  </si>
  <si>
    <t>448CB04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</si>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</sst>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1"/>
      <name val="Traditional Arabic"/>
      <family val="1"/>
    </font>
    <font>
      <sz val="9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5">
    <xf numFmtId="0" fontId="0" fillId="0" borderId="0" xfId="0"/>
    <xf numFmtId="3" fontId="0" fillId="0" borderId="0" xfId="0" applyNumberFormat="1"/>
    <xf numFmtId="0" fontId="3" fillId="2" borderId="1" xfId="0" applyFont="1" applyFill="1" applyBorder="1" applyAlignment="1" applyProtection="1">
      <alignment horizontal="center" vertical="center"/>
    </xf>
    <xf numFmtId="0" fontId="2" fillId="5" borderId="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3" fillId="4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Alignment="1" applyProtection="1">
      <alignment horizontal="center" vertical="center" wrapText="1"/>
    </xf>
    <xf numFmtId="10" fontId="3" fillId="2" borderId="1" xfId="1" applyNumberFormat="1" applyFont="1" applyFill="1" applyBorder="1" applyAlignment="1" applyProtection="1">
      <alignment horizontal="center" vertical="center"/>
    </xf>
    <xf numFmtId="10" fontId="3" fillId="2" borderId="1" xfId="0" applyNumberFormat="1" applyFont="1" applyFill="1" applyBorder="1" applyAlignment="1" applyProtection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  <xf numFmtId="0" fontId="2" fillId="5" borderId="2" xfId="0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/>
    <xf numFmtId="3" fontId="0" fillId="0" borderId="0" xfId="0" applyNumberFormat="1" applyProtection="1"/>
    <xf numFmtId="0" fontId="2" fillId="5" borderId="7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3" fillId="4" borderId="1" xfId="0" applyFont="1" applyFill="1" applyBorder="1" applyAlignment="1" applyProtection="1">
      <alignment horizontal="center"/>
    </xf>
    <xf numFmtId="0" fontId="3" fillId="6" borderId="0" xfId="0" applyFont="1" applyFill="1" applyProtection="1"/>
    <xf numFmtId="49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3" borderId="1" xfId="0" applyNumberFormat="1" applyFont="1" applyFill="1" applyBorder="1" applyAlignment="1" applyProtection="1">
      <alignment horizontal="center"/>
      <protection locked="0"/>
    </xf>
    <xf numFmtId="11" fontId="0" fillId="0" borderId="0" xfId="0" applyNumberFormat="1" applyAlignment="1" applyProtection="1">
      <alignment horizontal="center" vertical="center"/>
      <protection locked="0"/>
    </xf>
    <xf numFmtId="49" fontId="3" fillId="3" borderId="0" xfId="0" applyNumberFormat="1" applyFont="1" applyFill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/>
    </xf>
    <xf numFmtId="0" fontId="2" fillId="5" borderId="6" xfId="0" applyFont="1" applyFill="1" applyBorder="1" applyAlignment="1" applyProtection="1">
      <alignment horizontal="center" vertical="center"/>
    </xf>
    <xf numFmtId="0" fontId="2" fillId="5" borderId="0" xfId="0" applyFont="1" applyFill="1" applyBorder="1" applyAlignment="1" applyProtection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1016000</xdr:colOff>
          <xdr:row>97</xdr:row>
          <xdr:rowOff>152400</xdr:rowOff>
        </xdr:from>
        <xdr:to>
          <xdr:col>1</xdr:col>
          <xdr:colOff>2425700</xdr:colOff>
          <xdr:row>100</xdr:row>
          <xdr:rowOff>177800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Registers to Summary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21"/>
  <sheetViews>
    <sheetView workbookViewId="0">
      <selection activeCell="A12" sqref="A12"/>
    </sheetView>
  </sheetViews>
  <sheetFormatPr baseColWidth="10" defaultColWidth="8.83203125" defaultRowHeight="15" x14ac:dyDescent="0.2"/>
  <cols>
    <col min="1" max="1" width="85.83203125" customWidth="1"/>
    <col min="2" max="2" width="50.5" customWidth="1"/>
  </cols>
  <sheetData>
    <row r="1" spans="1:2" ht="16" x14ac:dyDescent="0.2">
      <c r="A1" s="25" t="s">
        <v>51</v>
      </c>
      <c r="B1" s="25" t="s">
        <v>50</v>
      </c>
    </row>
    <row r="2" spans="1:2" ht="16" x14ac:dyDescent="0.2">
      <c r="A2" s="25" t="s">
        <v>73</v>
      </c>
      <c r="B2" s="25" t="s">
        <v>74</v>
      </c>
    </row>
    <row r="3" spans="1:2" ht="16" x14ac:dyDescent="0.2">
      <c r="A3" s="25" t="s">
        <v>75</v>
      </c>
      <c r="B3" s="25"/>
    </row>
    <row r="4" spans="1:2" ht="16" x14ac:dyDescent="0.2">
      <c r="A4" s="25" t="s">
        <v>76</v>
      </c>
      <c r="B4" s="25" t="s">
        <v>77</v>
      </c>
    </row>
    <row r="5" spans="1:2" ht="16" x14ac:dyDescent="0.2">
      <c r="A5" s="25" t="s">
        <v>78</v>
      </c>
      <c r="B5" s="25" t="s">
        <v>79</v>
      </c>
    </row>
    <row r="6" spans="1:2" ht="16" x14ac:dyDescent="0.2">
      <c r="A6" s="25" t="s">
        <v>81</v>
      </c>
      <c r="B6" s="25"/>
    </row>
    <row r="7" spans="1:2" ht="16" x14ac:dyDescent="0.2">
      <c r="A7" s="25" t="s">
        <v>82</v>
      </c>
      <c r="B7" s="25" t="s">
        <v>80</v>
      </c>
    </row>
    <row r="8" spans="1:2" x14ac:dyDescent="0.2">
      <c r="A8" s="25"/>
      <c r="B8" s="25"/>
    </row>
    <row r="9" spans="1:2" ht="32" x14ac:dyDescent="0.2">
      <c r="A9" s="25" t="s">
        <v>84</v>
      </c>
      <c r="B9" s="25"/>
    </row>
    <row r="10" spans="1:2" ht="32" x14ac:dyDescent="0.2">
      <c r="A10" s="25" t="s">
        <v>85</v>
      </c>
      <c r="B10" s="25"/>
    </row>
    <row r="11" spans="1:2" x14ac:dyDescent="0.2">
      <c r="A11" s="25"/>
      <c r="B11" s="25"/>
    </row>
    <row r="12" spans="1:2" ht="16" x14ac:dyDescent="0.2">
      <c r="A12" s="25" t="s">
        <v>83</v>
      </c>
      <c r="B12" s="25"/>
    </row>
    <row r="13" spans="1:2" ht="16" x14ac:dyDescent="0.2">
      <c r="A13" s="25" t="s">
        <v>86</v>
      </c>
      <c r="B13" s="25"/>
    </row>
    <row r="14" spans="1:2" ht="32" x14ac:dyDescent="0.2">
      <c r="A14" s="25" t="s">
        <v>87</v>
      </c>
      <c r="B14" s="25"/>
    </row>
    <row r="15" spans="1:2" x14ac:dyDescent="0.2">
      <c r="A15" s="25"/>
      <c r="B15" s="25"/>
    </row>
    <row r="16" spans="1:2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</sheetData>
  <sheetProtection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49"/>
  <sheetViews>
    <sheetView tabSelected="1" zoomScaleNormal="100" workbookViewId="0">
      <selection activeCell="B32" sqref="B32"/>
    </sheetView>
  </sheetViews>
  <sheetFormatPr baseColWidth="10" defaultColWidth="9.1640625" defaultRowHeight="15" x14ac:dyDescent="0.2"/>
  <cols>
    <col min="1" max="1" width="82.83203125" style="4" bestFit="1" customWidth="1"/>
    <col min="2" max="2" width="107.83203125" style="4" bestFit="1" customWidth="1"/>
    <col min="3" max="3" width="95.1640625" style="4" bestFit="1" customWidth="1"/>
    <col min="4" max="4" width="27.5" style="5" bestFit="1" customWidth="1"/>
    <col min="5" max="5" width="9.1640625" style="5"/>
    <col min="6" max="6" width="25.83203125" style="5" customWidth="1"/>
    <col min="7" max="7" width="33.5" style="5" bestFit="1" customWidth="1"/>
    <col min="8" max="16384" width="9.1640625" style="5"/>
  </cols>
  <sheetData>
    <row r="1" spans="1:7" x14ac:dyDescent="0.2">
      <c r="A1" s="21" t="s">
        <v>72</v>
      </c>
      <c r="B1" s="30"/>
      <c r="C1" s="6" t="s">
        <v>126</v>
      </c>
    </row>
    <row r="2" spans="1:7" x14ac:dyDescent="0.2">
      <c r="A2" s="21"/>
      <c r="B2" s="18"/>
      <c r="C2" s="31" t="s">
        <v>127</v>
      </c>
    </row>
    <row r="3" spans="1:7" x14ac:dyDescent="0.2">
      <c r="A3" s="33" t="s">
        <v>36</v>
      </c>
      <c r="B3" s="6" t="s">
        <v>38</v>
      </c>
    </row>
    <row r="4" spans="1:7" x14ac:dyDescent="0.2">
      <c r="A4" s="34" t="s">
        <v>62</v>
      </c>
      <c r="B4" s="6" t="s">
        <v>195</v>
      </c>
    </row>
    <row r="5" spans="1:7" x14ac:dyDescent="0.2">
      <c r="A5" s="33" t="s">
        <v>30</v>
      </c>
      <c r="B5" s="6" t="s">
        <v>6</v>
      </c>
    </row>
    <row r="6" spans="1:7" x14ac:dyDescent="0.2">
      <c r="A6" s="34" t="s">
        <v>31</v>
      </c>
      <c r="B6" s="6" t="s">
        <v>8</v>
      </c>
    </row>
    <row r="7" spans="1:7" hidden="1" x14ac:dyDescent="0.2">
      <c r="A7" s="33" t="s">
        <v>64</v>
      </c>
      <c r="B7" s="6"/>
    </row>
    <row r="8" spans="1:7" hidden="1" x14ac:dyDescent="0.2">
      <c r="A8" s="34" t="s">
        <v>63</v>
      </c>
      <c r="B8" s="6"/>
    </row>
    <row r="9" spans="1:7" x14ac:dyDescent="0.2">
      <c r="A9" s="33" t="s">
        <v>32</v>
      </c>
      <c r="B9" s="6">
        <v>230</v>
      </c>
    </row>
    <row r="10" spans="1:7" x14ac:dyDescent="0.2">
      <c r="A10" s="34" t="s">
        <v>33</v>
      </c>
      <c r="B10" s="6">
        <v>1</v>
      </c>
    </row>
    <row r="11" spans="1:7" x14ac:dyDescent="0.2">
      <c r="A11" s="33" t="s">
        <v>47</v>
      </c>
      <c r="B11" s="6">
        <v>1</v>
      </c>
    </row>
    <row r="12" spans="1:7" x14ac:dyDescent="0.2">
      <c r="A12" s="12" t="s">
        <v>61</v>
      </c>
      <c r="B12" s="9">
        <v>1</v>
      </c>
    </row>
    <row r="13" spans="1:7" x14ac:dyDescent="0.2">
      <c r="A13" s="33" t="s">
        <v>136</v>
      </c>
      <c r="B13" s="9">
        <v>2</v>
      </c>
    </row>
    <row r="14" spans="1:7" x14ac:dyDescent="0.2">
      <c r="A14" s="12" t="s">
        <v>137</v>
      </c>
      <c r="B14" s="9">
        <v>4</v>
      </c>
    </row>
    <row r="15" spans="1:7" x14ac:dyDescent="0.2">
      <c r="A15" s="26"/>
    </row>
    <row r="16" spans="1:7" x14ac:dyDescent="0.2">
      <c r="A16" s="21" t="s">
        <v>20</v>
      </c>
      <c r="B16" s="3"/>
      <c r="G16" s="4"/>
    </row>
    <row r="17" spans="1:4" x14ac:dyDescent="0.2">
      <c r="A17" s="11" t="str">
        <f>IF(Current_Sensor_Type='Constants and config'!B3,"Enter CT Turns ratio",IF(Current_Sensor_Type='Constants and config'!B4,"Enter Rogowski transfer Function(V/A)","Enter Transfer Function(V/A)"))</f>
        <v>Enter CT Turns ratio</v>
      </c>
      <c r="B17" s="6">
        <v>2000</v>
      </c>
      <c r="C17" s="7"/>
    </row>
    <row r="18" spans="1:4" x14ac:dyDescent="0.2">
      <c r="A18" s="12" t="str">
        <f>IF(Current_Sensor_Type='Constants and config'!B3,"Enter Total CT Burden Resistor(Ohm)","")</f>
        <v>Enter Total CT Burden Resistor(Ohm)</v>
      </c>
      <c r="B18" s="6">
        <v>15.74</v>
      </c>
      <c r="C18" s="7"/>
    </row>
    <row r="19" spans="1:4" x14ac:dyDescent="0.2">
      <c r="A19" s="11" t="s">
        <v>53</v>
      </c>
      <c r="B19" s="2">
        <f>IF(Current_Sensor_Type='Constants and config'!B3,B18/B17,B17)</f>
        <v>7.8700000000000003E-3</v>
      </c>
      <c r="C19" s="7"/>
    </row>
    <row r="20" spans="1:4" x14ac:dyDescent="0.2">
      <c r="A20" s="12" t="str">
        <f>IF(Voltage_Sensor_Type='Constants and config'!C3,"Enter Top Leg (R1) of Divider Resistor (KOhm)",IF(Voltage_Sensor_Type='Constants and config'!C4,"Enter Normalized Transformer Turns Ratio N1(N1:1)","Enter Transfer Funtion (V/V)"))</f>
        <v>Enter Top Leg (R1) of Divider Resistor (KOhm)</v>
      </c>
      <c r="B20" s="6">
        <v>994.7</v>
      </c>
      <c r="C20" s="7"/>
    </row>
    <row r="21" spans="1:4" x14ac:dyDescent="0.2">
      <c r="A21" s="11" t="str">
        <f>IF(Voltage_Sensor_Type='Constants and config'!C3,"Enter Bottom Leg (R2)of Divider Resistor (kOhm)","")</f>
        <v>Enter Bottom Leg (R2)of Divider Resistor (kOhm)</v>
      </c>
      <c r="B21" s="6">
        <v>1</v>
      </c>
      <c r="C21" s="7"/>
    </row>
    <row r="22" spans="1:4" x14ac:dyDescent="0.2">
      <c r="A22" s="12" t="s">
        <v>54</v>
      </c>
      <c r="B22" s="2">
        <f>IF(Voltage_Sensor_Type='Constants and config'!C3,(B21/(B20+B21)),IF(Voltage_Sensor_Type='Constants and config'!C4,1/(B20+B21),B20))</f>
        <v>1.0043185698503565E-3</v>
      </c>
      <c r="C22" s="7"/>
    </row>
    <row r="23" spans="1:4" x14ac:dyDescent="0.2">
      <c r="A23" s="11" t="s">
        <v>124</v>
      </c>
      <c r="B23" s="2">
        <f>B9*B10*B11/3600000</f>
        <v>6.3888888888888895E-5</v>
      </c>
      <c r="C23" s="7"/>
    </row>
    <row r="24" spans="1:4" x14ac:dyDescent="0.2">
      <c r="A24" s="12" t="s">
        <v>128</v>
      </c>
      <c r="B24" s="32">
        <v>100000</v>
      </c>
      <c r="C24" s="7" t="s">
        <v>22</v>
      </c>
    </row>
    <row r="25" spans="1:4" x14ac:dyDescent="0.2">
      <c r="A25" s="11" t="s">
        <v>19</v>
      </c>
      <c r="B25" s="14">
        <f>(B9/(1/(B22*(2^0.5)))*B13)</f>
        <v>0.65334763351574143</v>
      </c>
      <c r="C25" s="7"/>
    </row>
    <row r="26" spans="1:4" x14ac:dyDescent="0.2">
      <c r="A26" s="12" t="s">
        <v>0</v>
      </c>
      <c r="B26" s="14">
        <f>(B10/(1/(B19*(2^0.5)))*B14)</f>
        <v>4.4519442943505037E-2</v>
      </c>
      <c r="C26" s="7"/>
    </row>
    <row r="27" spans="1:4" x14ac:dyDescent="0.2">
      <c r="A27" s="11" t="s">
        <v>35</v>
      </c>
      <c r="B27" s="40" t="str">
        <f>DEC2HEX(ROUND(((4.096*10^6*B25*B26*'Constants and config'!B11)/(HEX2DEC(Calibration_Tool!B24)*512*Calibration_Tool!B23)),0))</f>
        <v>448CB04</v>
      </c>
      <c r="C27" s="7" t="s">
        <v>21</v>
      </c>
    </row>
    <row r="28" spans="1:4" ht="16" x14ac:dyDescent="0.2">
      <c r="A28" s="13" t="s">
        <v>147</v>
      </c>
      <c r="B28" s="2">
        <f>B9/(B25*'Constants and config'!B10)*10^6</f>
        <v>6.6796800213115386</v>
      </c>
      <c r="C28" s="7"/>
    </row>
    <row r="29" spans="1:4" x14ac:dyDescent="0.2">
      <c r="A29" s="11" t="s">
        <v>148</v>
      </c>
      <c r="B29" s="2">
        <f>B10/(B26*'Constants and config'!B10)*10^6</f>
        <v>0.42620881105855163</v>
      </c>
      <c r="C29" s="7"/>
    </row>
    <row r="30" spans="1:4" x14ac:dyDescent="0.2">
      <c r="A30" s="12" t="s">
        <v>149</v>
      </c>
      <c r="B30" s="2">
        <f>(B9*B10)/('Constants and config'!B11*B25*B26)*10^3</f>
        <v>0.38210961174945679</v>
      </c>
      <c r="C30" s="7"/>
    </row>
    <row r="31" spans="1:4" x14ac:dyDescent="0.2">
      <c r="A31" s="11" t="s">
        <v>151</v>
      </c>
      <c r="B31" s="2">
        <f>(B9*B10*B12)/(B25*B26*'Constants and config'!B11*'Constants and config'!B15*B12*2^-13*3600)*10^6</f>
        <v>0.10868895623095662</v>
      </c>
      <c r="C31" s="7"/>
      <c r="D31" s="7"/>
    </row>
    <row r="32" spans="1:4" x14ac:dyDescent="0.2">
      <c r="A32" s="27"/>
      <c r="B32" s="7"/>
      <c r="C32" s="7"/>
      <c r="D32" s="7"/>
    </row>
    <row r="33" spans="1:3" x14ac:dyDescent="0.2">
      <c r="A33" s="27"/>
      <c r="B33" s="7"/>
      <c r="C33" s="7"/>
    </row>
    <row r="34" spans="1:3" x14ac:dyDescent="0.2">
      <c r="A34" s="21" t="s">
        <v>18</v>
      </c>
      <c r="B34" s="3"/>
      <c r="C34" s="7"/>
    </row>
    <row r="35" spans="1:3" x14ac:dyDescent="0.2">
      <c r="A35" s="33" t="s">
        <v>55</v>
      </c>
      <c r="B35" s="6" t="s">
        <v>59</v>
      </c>
      <c r="C35" s="7"/>
    </row>
    <row r="36" spans="1:3" x14ac:dyDescent="0.2">
      <c r="A36" s="34" t="str">
        <f>IF(Calibration_Tool!B35='Constants and config'!I3,"Enter Measured xIRMS register value(hex)","Enter Meter RMS Current Output(A)")</f>
        <v>Enter Measured xIRMS register value(hex)</v>
      </c>
      <c r="B36" s="37"/>
      <c r="C36" s="7"/>
    </row>
    <row r="37" spans="1:3" x14ac:dyDescent="0.2">
      <c r="A37" s="33" t="str">
        <f>IF(Calibration_Tool!B35='Constants and config'!I3,"Enter Measured xVRMS register value(hex)","Enter Meter RMS Voltage Output(V)")</f>
        <v>Enter Measured xVRMS register value(hex)</v>
      </c>
      <c r="B37" s="37"/>
      <c r="C37" s="7"/>
    </row>
    <row r="38" spans="1:3" x14ac:dyDescent="0.2">
      <c r="A38" s="34" t="str">
        <f>IF(Calibration_Tool!B35='Constants and config'!I3,"Expected xIRMS register value(hex)","Expected Meter RMS Current Output(A)")</f>
        <v>Expected xIRMS register value(hex)</v>
      </c>
      <c r="B38" s="40" t="str">
        <f>IF(Calibration_Tool!B35='Constants and config'!I3,DEC2HEX(ROUND(B26*'Constants and config'!B10,0)),B10)</f>
        <v>23CD1C</v>
      </c>
      <c r="C38" s="7"/>
    </row>
    <row r="39" spans="1:3" x14ac:dyDescent="0.2">
      <c r="A39" s="33" t="str">
        <f>IF(Calibration_Tool!B35='Constants and config'!I3,"Expected xVRMS register value(hex)","Expected Meter RMS Voltage Output(V)")</f>
        <v>Expected xVRMS register value(hex)</v>
      </c>
      <c r="B39" s="40" t="str">
        <f>IF(Calibration_Tool!B35='Constants and config'!I3,DEC2HEX(ROUND(B25*'Constants and config'!B10,0)),B9)</f>
        <v>20D6713</v>
      </c>
      <c r="C39" s="7"/>
    </row>
    <row r="40" spans="1:3" x14ac:dyDescent="0.2">
      <c r="A40" s="34" t="str">
        <f>IF(Calibration_Tool!B3='Constants and config'!G3,"AIGAIN Register(hex)",IF(Calibration_Tool!B3='Constants and config'!G4,"BIGAIN Register(hex)",IF(Calibration_Tool!B3='Constants and config'!G5,"CIGAIN Register(hex)","NIGAIN Register(hex)")))</f>
        <v>AIGAIN Register(hex)</v>
      </c>
      <c r="B40" s="40" t="e">
        <f>IF(Calibration_Tool!B35='Constants and config'!I3,RIGHT(DEC2HEX(((HEX2DEC(B38)-HEX2DEC(B36))/HEX2DEC(B36)*2^27)),8),RIGHT(DEC2HEX(((B10-(B36))/(B36)*2^27)),8))</f>
        <v>#DIV/0!</v>
      </c>
      <c r="C40" s="7" t="s">
        <v>23</v>
      </c>
    </row>
    <row r="41" spans="1:3" x14ac:dyDescent="0.2">
      <c r="A41" s="33" t="str">
        <f>IF(Calibration_Tool!B3='Constants and config'!G3,"AVGAIN Register(hex)",IF(Calibration_Tool!B3='Constants and config'!G4,"BVGAIN Register(hex)",IF(Calibration_Tool!B3='Constants and config'!G5,"CVGAIN Register(hex)","")))</f>
        <v>AVGAIN Register(hex)</v>
      </c>
      <c r="B41" s="40" t="e">
        <f>IF(Calibration_Tool!B35='Constants and config'!I3,RIGHT(DEC2HEX((HEX2DEC(B39)-HEX2DEC(B37))/HEX2DEC(B37)*2^27),8),RIGHT(DEC2HEX((B9-(B37))/(B37)*2^27),8))</f>
        <v>#DIV/0!</v>
      </c>
      <c r="C41" s="7" t="s">
        <v>24</v>
      </c>
    </row>
    <row r="42" spans="1:3" x14ac:dyDescent="0.2">
      <c r="A42" s="34" t="str">
        <f>IF(Calibration_Tool!B35='Constants and config'!I3,"Enter Measured xIRMS register value after calibration(hex) ","Enter Meter RMS Current Output after Calibration(A)")</f>
        <v xml:space="preserve">Enter Measured xIRMS register value after calibration(hex) </v>
      </c>
      <c r="B42" s="37"/>
      <c r="C42" s="7"/>
    </row>
    <row r="43" spans="1:3" x14ac:dyDescent="0.2">
      <c r="A43" s="33" t="str">
        <f>IF(Calibration_Tool!B35='Constants and config'!I3,"Enter Measured xVRMS register value after calibration(hex) ","Enter Meter RMS Voltage Output after Calibration(V)")</f>
        <v xml:space="preserve">Enter Measured xVRMS register value after calibration(hex) </v>
      </c>
      <c r="B43" s="37"/>
      <c r="C43" s="38"/>
    </row>
    <row r="44" spans="1:3" x14ac:dyDescent="0.2">
      <c r="A44" s="12" t="s">
        <v>65</v>
      </c>
      <c r="B44" s="15">
        <f>IF(Calibration_Tool!B35='Constants and config'!I3,(HEX2DEC(B42)-HEX2DEC(B38))/HEX2DEC(B38),((B42)-B10)/B10)</f>
        <v>-1</v>
      </c>
      <c r="C44" s="38"/>
    </row>
    <row r="45" spans="1:3" x14ac:dyDescent="0.2">
      <c r="A45" s="33" t="s">
        <v>66</v>
      </c>
      <c r="B45" s="15">
        <f>IF(Calibration_Tool!B35='Constants and config'!I3,(HEX2DEC(B43)-HEX2DEC(B39))/HEX2DEC(B39),((B43)-B9)/B9)</f>
        <v>-1</v>
      </c>
      <c r="C45" s="7"/>
    </row>
    <row r="46" spans="1:3" x14ac:dyDescent="0.2">
      <c r="A46" s="27"/>
      <c r="B46" s="7"/>
      <c r="C46" s="7"/>
    </row>
    <row r="47" spans="1:3" x14ac:dyDescent="0.2">
      <c r="A47" s="27"/>
      <c r="B47" s="7"/>
      <c r="C47" s="7"/>
    </row>
    <row r="48" spans="1:3" x14ac:dyDescent="0.2">
      <c r="A48" s="21" t="s">
        <v>27</v>
      </c>
      <c r="B48" s="3"/>
      <c r="C48" s="7"/>
    </row>
    <row r="49" spans="1:4" x14ac:dyDescent="0.2">
      <c r="A49" s="11" t="s">
        <v>67</v>
      </c>
      <c r="B49" s="24"/>
      <c r="C49" s="7" t="s">
        <v>131</v>
      </c>
    </row>
    <row r="50" spans="1:4" x14ac:dyDescent="0.2">
      <c r="A50" s="12" t="s">
        <v>68</v>
      </c>
      <c r="B50" s="24"/>
      <c r="C50" s="7" t="s">
        <v>132</v>
      </c>
    </row>
    <row r="51" spans="1:4" x14ac:dyDescent="0.2">
      <c r="A51" s="11" t="str">
        <f>IF(Calibration_Tool!B35='Constants and config'!I3,"Enter Measured xIRMS register value(hex)","Enter Meter RMS Current Output(A)")</f>
        <v>Enter Measured xIRMS register value(hex)</v>
      </c>
      <c r="B51" s="37"/>
      <c r="C51" s="7"/>
    </row>
    <row r="52" spans="1:4" x14ac:dyDescent="0.2">
      <c r="A52" s="12" t="str">
        <f>IF(Calibration_Tool!B35='Constants and config'!I3,"Enter Measured xVRMS register value(hex)","Enter Meter RMS Voltage Output(V)")</f>
        <v>Enter Measured xVRMS register value(hex)</v>
      </c>
      <c r="B52" s="37"/>
    </row>
    <row r="53" spans="1:4" x14ac:dyDescent="0.2">
      <c r="A53" s="11" t="str">
        <f>IF(Calibration_Tool!B35='Constants and config'!I3,"Enter Measured xIFRMS register value(hex)","Enter Meter Fundamental RMS Current Output(A)")</f>
        <v>Enter Measured xIFRMS register value(hex)</v>
      </c>
      <c r="B53" s="37"/>
    </row>
    <row r="54" spans="1:4" x14ac:dyDescent="0.2">
      <c r="A54" s="12" t="str">
        <f>IF(Calibration_Tool!B35='Constants and config'!I3,"Enter Measured xVFRMS register value(hex)","Enter Meter Fundamental RMS Voltage Output(V)")</f>
        <v>Enter Measured xVFRMS register value(hex)</v>
      </c>
      <c r="B54" s="37"/>
    </row>
    <row r="55" spans="1:4" x14ac:dyDescent="0.2">
      <c r="A55" s="11" t="str">
        <f>IF(Calibration_Tool!B3='Constants and config'!G3,"AIRMSOS Register(hex)",IF(Calibration_Tool!B3='Constants and config'!G4,"BIRMSOS Register(hex)",IF(Calibration_Tool!B3='Constants and config'!G5,"CIRMSOS Register(hex)","NIRMSOS Register(hex)")))</f>
        <v>AIRMSOS Register(hex)</v>
      </c>
      <c r="B55" s="40" t="str">
        <f>IF(Calibration_Tool!B35='Constants and config'!I3,RIGHT(DEC2HEX(((('Constants and config'!B10*B49*B26/B10)^2)-HEX2DEC(B51)^2)/2^15),8),RIGHT(DEC2HEX((((B49*B29)^2)-((B51)*B29)^2)/2^15),8))</f>
        <v>0</v>
      </c>
      <c r="C55" s="7"/>
    </row>
    <row r="56" spans="1:4" x14ac:dyDescent="0.2">
      <c r="A56" s="12" t="str">
        <f>IF(Calibration_Tool!B3='Constants and config'!G3,"AVRMSOS Register(hex)",IF(Calibration_Tool!B3='Constants and config'!G4,"BVRMSOS Register(hex)",IF(Calibration_Tool!B3='Constants and config'!G5,"CVRMSOS Register(hex)","")))</f>
        <v>AVRMSOS Register(hex)</v>
      </c>
      <c r="B56" s="40" t="str">
        <f>IF(Calibration_Tool!B35='Constants and config'!I3,RIGHT(DEC2HEX(((('Constants and config'!B10*B50*B25/B9)^2)-HEX2DEC(B52)^2)/2^15),8),RIGHT(DEC2HEX((((B50*B28)^2)-((B52)*B28)^2)/2^15),8))</f>
        <v>0</v>
      </c>
      <c r="C56" s="7"/>
    </row>
    <row r="57" spans="1:4" x14ac:dyDescent="0.2">
      <c r="A57" s="11" t="str">
        <f>IF(Calibration_Tool!B3='Constants and config'!G3,"AIFRMSOS Register(hex)",IF(Calibration_Tool!B3='Constants and config'!G4,"BIFRMSOS Register(hex)",IF(Calibration_Tool!B3='Constants and config'!G5,"CIFRMSOS Register(hex)","")))</f>
        <v>AIFRMSOS Register(hex)</v>
      </c>
      <c r="B57" s="41" t="str">
        <f>IF(Calibration_Tool!B35='Constants and config'!I3,RIGHT(DEC2HEX(((('Constants and config'!B10*B49*B26/B10)^2)-HEX2DEC(B53)^2)/2^15),8),RIGHT(DEC2HEX((((B49*B29)^2)-((B53)*B29)^2)/2^15),8))</f>
        <v>0</v>
      </c>
      <c r="C57" s="7"/>
    </row>
    <row r="58" spans="1:4" x14ac:dyDescent="0.2">
      <c r="A58" s="12" t="str">
        <f>IF(Calibration_Tool!B3='Constants and config'!G3,"AVFRMSOS Register(hex)",IF(Calibration_Tool!B3='Constants and config'!G4,"BVFRMSOS Register(hex)",IF(Calibration_Tool!B3='Constants and config'!G5,"CVFRMSOS Register(hex)","")))</f>
        <v>AVFRMSOS Register(hex)</v>
      </c>
      <c r="B58" s="41" t="str">
        <f>IF(Calibration_Tool!B35='Constants and config'!I3,RIGHT(DEC2HEX(((('Constants and config'!B10*B50*B25/B9)^2)-HEX2DEC(B54)^2)/2^15),8),RIGHT(DEC2HEX((((B50*B28)^2)-((B54)*B28)^2)/2^15),8))</f>
        <v>0</v>
      </c>
      <c r="C58" s="7"/>
    </row>
    <row r="59" spans="1:4" x14ac:dyDescent="0.2">
      <c r="A59" s="27"/>
      <c r="B59" s="7"/>
      <c r="C59" s="7"/>
    </row>
    <row r="60" spans="1:4" x14ac:dyDescent="0.2">
      <c r="A60" s="27"/>
      <c r="B60" s="7"/>
      <c r="C60" s="7"/>
    </row>
    <row r="61" spans="1:4" x14ac:dyDescent="0.2">
      <c r="A61" s="21" t="s">
        <v>25</v>
      </c>
      <c r="B61" s="3" t="str">
        <f>IF(B62='Constants and config'!J4,"Done at Lagging PF=0.5 such that Active and Reactive Energies are Positive","Done With Active Energy parameters at PF=1 and Lagging PF = 0.5(Active and Reactive Energies are Positive)")</f>
        <v>Done at Lagging PF=0.5 such that Active and Reactive Energies are Positive</v>
      </c>
      <c r="C61" s="8"/>
    </row>
    <row r="62" spans="1:4" x14ac:dyDescent="0.2">
      <c r="A62" s="33" t="s">
        <v>55</v>
      </c>
      <c r="B62" s="9" t="s">
        <v>59</v>
      </c>
      <c r="C62" s="19"/>
      <c r="D62" s="20"/>
    </row>
    <row r="63" spans="1:4" x14ac:dyDescent="0.2">
      <c r="A63" s="34" t="s">
        <v>129</v>
      </c>
      <c r="B63" s="9">
        <v>60</v>
      </c>
      <c r="C63" s="7"/>
      <c r="D63" s="20"/>
    </row>
    <row r="64" spans="1:4" x14ac:dyDescent="0.2">
      <c r="A64" s="33" t="str">
        <f>IF(B62='Constants and config'!J3,"Expected CF for Active Energy(Hz) at PF=1",IF(B62='Constants and config'!J4,"Expected Active Energy Register(xWATTHR_HI hex) at calibrating angle","Expected CF for Active Energy(Hz) at PF=1"))</f>
        <v>Expected Active Energy Register(xWATTHR_HI hex) at calibrating angle</v>
      </c>
      <c r="B64" s="40" t="str">
        <f>IF(B62='Constants and config'!J3,B23*COS(RADIANS(0)),IF(B62='Constants and config'!J4,DEC2HEX((8000*B12*B25*B26*'Constants and config'!B11*COS(RADIANS(B63)))/(2^13)),B23*COS(RADIANS(0))))</f>
        <v>47C12</v>
      </c>
      <c r="C64" s="7"/>
    </row>
    <row r="65" spans="1:4" x14ac:dyDescent="0.2">
      <c r="A65" s="34" t="str">
        <f>IF(B62='Constants and config'!J3,"Expected CF for Active Energy(Hz) at calibrating angle",IF(B62='Constants and config'!J4,"Expected Reactive Energy(xVARHR_HI hex) at calibrating angle","Expected CF for Reactive Energy(Hz) at calibrating angle"))</f>
        <v>Expected Reactive Energy(xVARHR_HI hex) at calibrating angle</v>
      </c>
      <c r="B65" s="40" t="str">
        <f>IF(B62='Constants and config'!J3,B23*COS(RADIANS(B63)),IF(B62='Constants and config'!J4,DEC2HEX((8000*B12*B25*B26*'Constants and config'!B11*SIN(RADIANS(B63)))/(2^13)),B23*COS(RADIANS(B63))))</f>
        <v>7C485</v>
      </c>
      <c r="C65" s="7"/>
      <c r="D65" s="20"/>
    </row>
    <row r="66" spans="1:4" x14ac:dyDescent="0.2">
      <c r="A66" s="33" t="str">
        <f>IF(B62='Constants and config'!J3,"Enter Measured CF for Active Energy(Hz) at PF=1",IF(B62='Constants and config'!J4,"Enter measured Active Energy register xWATTHR_HI (hex) at calibrating angle",IF(B62='Constants and config'!J5,"Enter Measured Active Energy Error(%) at PF=1","Enter Measured imp/kWHr for Active Energy at PF=1")))</f>
        <v>Enter measured Active Energy register xWATTHR_HI (hex) at calibrating angle</v>
      </c>
      <c r="B66" s="36"/>
      <c r="C66" s="7"/>
    </row>
    <row r="67" spans="1:4" x14ac:dyDescent="0.2">
      <c r="A67" s="34" t="str">
        <f>IF(B62='Constants and config'!J3,"Enter Measured CF for Active Energy(Hz) at calibrating angle",IF(B62='Constants and config'!J4,"Enter measured Reactive Energy register xVARHR_HI (hex) at calibrating angle",IF(B62='Constants and config'!J5,"Enter Measured Active Energy Error(%) at calibrating angle","Enter Measured imp/kWHr for Active Energy at calibrating angle")))</f>
        <v>Enter measured Reactive Energy register xVARHR_HI (hex) at calibrating angle</v>
      </c>
      <c r="B67" s="36"/>
      <c r="C67" s="7"/>
    </row>
    <row r="68" spans="1:4" x14ac:dyDescent="0.2">
      <c r="A68" s="33" t="s">
        <v>133</v>
      </c>
      <c r="B68" s="2" t="e">
        <f>IF(B62='Constants and config'!J3,DEGREES(ATAN(_xlfn.COT(RADIANS(B63))-(B64*B67*_xlfn.COT(RADIANS(B63))/B65/B66))),IF(B62='Constants and config'!J4,DEGREES(ATAN((HEX2DEC(B67)*COS(RADIANS(B63))-(HEX2DEC(B66)*SIN(RADIANS(B63))))/((HEX2DEC(B67)*SIN(RADIANS(B63)))+(HEX2DEC(B66)*COS(RADIANS(B63)))))),IF(B62='Constants and config'!J5,    DEGREES(ATAN(_xlfn.COT(RADIANS(B63))-(B64*(B65*(1+B67/100))*_xlfn.COT(RADIANS(B63))/B65/(B64*(1+B66/100))))),DEGREES(ATAN(_xlfn.COT(RADIANS(B63))-(B67*_xlfn.COT(RADIANS(B63))/B66))))))</f>
        <v>#DIV/0!</v>
      </c>
      <c r="C68" s="7"/>
    </row>
    <row r="69" spans="1:4" x14ac:dyDescent="0.2">
      <c r="A69" s="34" t="str">
        <f>IF(Calibration_Tool!B3='Constants and config'!G3,"APHCAL0 Register(hex)",IF(Calibration_Tool!B3='Constants and config'!G4,"BPHCAL0 Register(hex)",IF(Calibration_Tool!B3='Constants and config'!G5,"CPHCAL0 Register(hex)","NPHCAL Register(hex)")))</f>
        <v>APHCAL0 Register(hex)</v>
      </c>
      <c r="B69" s="2" t="e">
        <f xml:space="preserve"> RIGHT(DEC2HEX((SIN(RADIANS(B68)-'Constants and config'!B16)+SIN('Constants and config'!B16))/(SIN(2*'Constants and config'!B16-RADIANS(Calibration_Tool!B68)))*2^27),8)</f>
        <v>#DIV/0!</v>
      </c>
      <c r="C69" s="7" t="s">
        <v>29</v>
      </c>
    </row>
    <row r="70" spans="1:4" x14ac:dyDescent="0.2">
      <c r="A70" s="42"/>
      <c r="B70" s="42"/>
      <c r="C70" s="7"/>
      <c r="D70" s="23"/>
    </row>
    <row r="71" spans="1:4" x14ac:dyDescent="0.2">
      <c r="A71" s="26"/>
      <c r="B71" s="7"/>
      <c r="C71" s="7"/>
    </row>
    <row r="72" spans="1:4" x14ac:dyDescent="0.2">
      <c r="A72" s="21" t="s">
        <v>26</v>
      </c>
      <c r="B72" s="3" t="s">
        <v>150</v>
      </c>
      <c r="C72" s="7"/>
    </row>
    <row r="73" spans="1:4" x14ac:dyDescent="0.2">
      <c r="A73" s="33" t="s">
        <v>55</v>
      </c>
      <c r="B73" s="9" t="s">
        <v>59</v>
      </c>
      <c r="C73" s="7"/>
    </row>
    <row r="74" spans="1:4" x14ac:dyDescent="0.2">
      <c r="A74" s="34" t="s">
        <v>14</v>
      </c>
      <c r="B74" s="9">
        <v>0</v>
      </c>
      <c r="C74" s="7"/>
    </row>
    <row r="75" spans="1:4" x14ac:dyDescent="0.2">
      <c r="A75" s="33" t="str">
        <f>IF(B73='Constants and config'!K3,"Enter Measured CF for Active Energy(Hz)",IF(B73='Constants and config'!K4,"Enter measured Active Energy register xWATTHR_HI (hex)",IF(B73='Constants and config'!K5,"Enter Measured Active Energy Error(%)","Enter Measured imp/kWHr for Active Energy")))</f>
        <v>Enter measured Active Energy register xWATTHR_HI (hex)</v>
      </c>
      <c r="B75" s="36"/>
      <c r="C75" s="7"/>
    </row>
    <row r="76" spans="1:4" ht="0.75" customHeight="1" x14ac:dyDescent="0.2">
      <c r="A76" s="34" t="str">
        <f>IF(B73='Constants and config'!K3,"Enter Measured CF for Reactive Energy(Hz)(Optional)",IF(B73='Constants and config'!K4,"Enter measured Rective Energy register xVARHR_HI (hex)(Optional)",IF(B73='Constants and config'!K5,"","")))</f>
        <v>Enter measured Rective Energy register xVARHR_HI (hex)(Optional)</v>
      </c>
      <c r="B76" s="9"/>
      <c r="C76" s="7"/>
    </row>
    <row r="77" spans="1:4" x14ac:dyDescent="0.2">
      <c r="A77" s="34" t="str">
        <f>IF(B73='Constants and config'!K3,"Expected CF for Active Energy(Hz)",IF(B73='Constants and config'!K4,"Expected Active Energy register xWATTHR_HI (hex)",IF(B73='Constants and config'!K5,"Expected Error for Active Energy","Expected imp/kWHr for Active Energy")))</f>
        <v>Expected Active Energy register xWATTHR_HI (hex)</v>
      </c>
      <c r="B77" s="40" t="str">
        <f>IF(B73='Constants and config'!K3,B23*COS(RADIANS(B74)),IF(B73='Constants and config'!K4,DEC2HEX((8000*B12*B25*B26*'Constants and config'!B11*COS(RADIANS(B74)))/(2^13)),IF(B73='Constants and config'!K5,"0",B11)))</f>
        <v>8F825</v>
      </c>
      <c r="C77" s="7"/>
    </row>
    <row r="78" spans="1:4" x14ac:dyDescent="0.2">
      <c r="A78" s="33" t="str">
        <f>IF(B73='Constants and config'!K3,"Expected CF for Reactive Energy(Hz)",IF(B73='Constants and config'!K4,"Expected Rective Energy register xVARHR_HI (hex)",IF(B73='Constants and config'!K5,"Expected Error for Reactive Energy","Expected imp/kWHr for Reactive Energy")))</f>
        <v>Expected Rective Energy register xVARHR_HI (hex)</v>
      </c>
      <c r="B78" s="40" t="str">
        <f>IF(B73='Constants and config'!K3,B23*SIN(RADIANS(B74)),IF(B73='Constants and config'!K4,DEC2HEX((8000*B12*B25*B26*'Constants and config'!B11*SIN(RADIANS(B74)))/(2^13)),IF(B73='Constants and config'!K5,"0",B11)))</f>
        <v>0</v>
      </c>
      <c r="C78" s="7"/>
    </row>
    <row r="79" spans="1:4" x14ac:dyDescent="0.2">
      <c r="A79" s="34" t="str">
        <f>IF(Calibration_Tool!B3='Constants and config'!G3,"APGAIN Register(hex)",IF(Calibration_Tool!B3='Constants and config'!G4,"BPGAIN Register(hex)",IF(Calibration_Tool!B3='Constants and config'!G5,"CPGAIN Register(hex)","")))</f>
        <v>APGAIN Register(hex)</v>
      </c>
      <c r="B79" s="40" t="e">
        <f>IF(B73='Constants and config'!K3,RIGHT(DEC2HEX((B77/B75-1)*2^27),8),IF(B73='Constants and config'!K4,RIGHT(DEC2HEX((HEX2DEC(B77)/HEX2DEC(B75)-1)*2^27),8),IF(B73='Constants and config'!K5,RIGHT(DEC2HEX((100/(B75+100)-1)*2^27),8), RIGHT(DEC2HEX((B11/B75-1)*2^27),8) )))</f>
        <v>#DIV/0!</v>
      </c>
      <c r="C79" s="7" t="s">
        <v>34</v>
      </c>
    </row>
    <row r="80" spans="1:4" x14ac:dyDescent="0.2">
      <c r="A80" s="33" t="str">
        <f>IF(B73='Constants and config'!K3,"Enter Measured CF for Active Energy(Hz) after xPGAIN Calibration",IF(B73='Constants and config'!K4,"Enter measured Active Energy register xWATTHRHI (hex) after xPGAIN Calibration",IF(B73='Constants and config'!K5,"Enter Measured Active Energy Error(%) after xPGAIN Calibration","Enter Measured imp/kWHr for Active Energy after xPGAIN Calibration")))</f>
        <v>Enter measured Active Energy register xWATTHRHI (hex) after xPGAIN Calibration</v>
      </c>
      <c r="B80" s="39"/>
      <c r="C80" s="7"/>
    </row>
    <row r="81" spans="1:3" hidden="1" x14ac:dyDescent="0.2">
      <c r="A81" s="33" t="str">
        <f>IF(B73='Constants and config'!K3,"Enter Measured CF for Reactive Energy (Hz) after xPGAIN Calibration",IF(B73='Constants and config'!K4,"Enter measured Reactive Energy register xVARHR_HI (hex) after xPGAIN Calibration",IF(B73='Constants and config'!K5,"Enter Measured Reactive Energy Error(%) after xPGAIN Calibration","Enter Measured imp/kWHr for Reactive Energy after xPGAIN Calibration")))</f>
        <v>Enter measured Reactive Energy register xVARHR_HI (hex) after xPGAIN Calibration</v>
      </c>
      <c r="B81" s="9"/>
      <c r="C81" s="7"/>
    </row>
    <row r="82" spans="1:3" x14ac:dyDescent="0.2">
      <c r="A82" s="12" t="s">
        <v>48</v>
      </c>
      <c r="B82" s="15">
        <f>IF(B73='Constants and config'!K3,(B80-B77)/B77,IF(B73='Constants and config'!K4,(HEX2DEC(B80)-HEX2DEC(B77))/HEX2DEC(B77),IF(B73='Constants and config'!K5,B80/100,(B80-B11)/B11)))</f>
        <v>-1</v>
      </c>
      <c r="C82" s="7"/>
    </row>
    <row r="83" spans="1:3" hidden="1" x14ac:dyDescent="0.2">
      <c r="A83" s="10" t="s">
        <v>49</v>
      </c>
      <c r="B83" s="15" t="e">
        <f>IF(B73='Constants and config'!K3,(B81-B78)/B78,IF(B73='Constants and config'!K4,(HEX2DEC(B81)-HEX2DEC(B78))/HEX2DEC(B78),IF(B73='Constants and config'!K5,B81/100,(B81-B11)/B11)))</f>
        <v>#DIV/0!</v>
      </c>
      <c r="C83" s="7"/>
    </row>
    <row r="84" spans="1:3" x14ac:dyDescent="0.2">
      <c r="A84" s="27"/>
      <c r="B84" s="7"/>
      <c r="C84" s="7"/>
    </row>
    <row r="85" spans="1:3" x14ac:dyDescent="0.2">
      <c r="A85" s="27"/>
      <c r="B85" s="7"/>
      <c r="C85" s="7"/>
    </row>
    <row r="86" spans="1:3" x14ac:dyDescent="0.2">
      <c r="A86" s="21" t="s">
        <v>28</v>
      </c>
      <c r="B86" s="3" t="s">
        <v>52</v>
      </c>
      <c r="C86" s="7"/>
    </row>
    <row r="87" spans="1:3" x14ac:dyDescent="0.2">
      <c r="A87" s="33" t="s">
        <v>55</v>
      </c>
      <c r="B87" s="9" t="s">
        <v>59</v>
      </c>
      <c r="C87" s="7"/>
    </row>
    <row r="88" spans="1:3" x14ac:dyDescent="0.2">
      <c r="A88" s="34" t="s">
        <v>69</v>
      </c>
      <c r="B88" s="9"/>
      <c r="C88" s="7"/>
    </row>
    <row r="89" spans="1:3" x14ac:dyDescent="0.2">
      <c r="A89" s="33" t="s">
        <v>70</v>
      </c>
      <c r="B89" s="22"/>
      <c r="C89" s="7"/>
    </row>
    <row r="90" spans="1:3" x14ac:dyDescent="0.2">
      <c r="A90" s="34" t="str">
        <f>IF(B87='Constants and config'!K3,"Enter Measured CF for Active Energy(Hz)",IF(B87='Constants and config'!K4,"Enter measured Active Energy register xWATTHR_HI (hex)",IF(B87='Constants and config'!K5,"Enter Measured Active Energy Error(%)","Enter Measured imp/kWHr for Active Energy")))</f>
        <v>Enter measured Active Energy register xWATTHR_HI (hex)</v>
      </c>
      <c r="B90" s="36"/>
      <c r="C90" s="7"/>
    </row>
    <row r="91" spans="1:3" x14ac:dyDescent="0.2">
      <c r="A91" s="33" t="str">
        <f>IF(B87='Constants and config'!K3,"Enter Measured CF for Reactive Energy(Hz)",IF(B87='Constants and config'!K4,"Enter measured Reactive Energy register xVARHR_HI (hex)",IF(B87='Constants and config'!K5,"Enter Measured Reactive Energy Error(%)","Enter Measured imp/kWHr for Reactive Energy")))</f>
        <v>Enter measured Reactive Energy register xVARHR_HI (hex)</v>
      </c>
      <c r="B91" s="36"/>
      <c r="C91" s="7"/>
    </row>
    <row r="92" spans="1:3" x14ac:dyDescent="0.2">
      <c r="A92" s="34" t="str">
        <f>IF(B87='Constants and config'!K3,"Enter Measured CF for Fundamental Active Energy(Hz)",IF(B87='Constants and config'!K4,"Enter measured Fundamental Active Energy register xFWATTHR_HI (hex)",IF(B87='Constants and config'!K5,"Enter Measured Fundamental Active Energy Error(%)","Enter Measured imp/kWHr for Fundamental Active Energy")))</f>
        <v>Enter measured Fundamental Active Energy register xFWATTHR_HI (hex)</v>
      </c>
      <c r="B92" s="36"/>
      <c r="C92" s="7"/>
    </row>
    <row r="93" spans="1:3" x14ac:dyDescent="0.2">
      <c r="A93" s="33" t="str">
        <f>IF(B87='Constants and config'!K3,"Enter Measured CF for Fundamental Reactive Energy(Hz)",IF(B87='Constants and config'!K4,"Enter measured Fundamental Reactive Energy register xFVARHR_HI (hex)",IF(B87='Constants and config'!K5,"Enter Measured Fundamental Reactive Energy Error(%)","Enter Measured imp/kWHr for Fundamental Reactive Energy")))</f>
        <v>Enter measured Fundamental Reactive Energy register xFVARHR_HI (hex)</v>
      </c>
      <c r="B93" s="36"/>
      <c r="C93" s="7"/>
    </row>
    <row r="94" spans="1:3" x14ac:dyDescent="0.2">
      <c r="A94" s="34" t="str">
        <f>IF(Calibration_Tool!B3='Constants and config'!G3,"AWATTOS Register(hex)",IF(Calibration_Tool!B3='Constants and config'!G4,"BWATTOS Register(hex)",IF(Calibration_Tool!B3='Constants and config'!G5,"CWATTOS Register(hex)","")))</f>
        <v>AWATTOS Register(hex)</v>
      </c>
      <c r="B94" s="16" t="e">
        <f>IF(B87='Constants and config'!K3,RIGHT(DEC2HEX(((B11*B9*B89/3600000)-B90)*(HEX2DEC(B27)*HEX2DEC(B24)*512/4096000)),8),IF(B87='Constants and config'!K4,RIGHT(DEC2HEX(((B25*B26*B89/B10*'Constants and config'!B11*B88*8000*2^-13)-HEX2DEC(B90))/(B88*8000*2^-13)),8),IF(B87='Constants and config'!K5,RIGHT(DEC2HEX(((-1*B90*B11/100)*(B9*B89/3600000)*HEX2DEC(B27)*HEX2DEC(B24)*512/4096000)),8),RIGHT(DEC2HEX(((B11-B90)*(B9*B89/3600000)*HEX2DEC(B27)*HEX2DEC(B24)*512/4096000)),8))))</f>
        <v>#DIV/0!</v>
      </c>
      <c r="C94" s="7"/>
    </row>
    <row r="95" spans="1:3" x14ac:dyDescent="0.2">
      <c r="A95" s="33" t="str">
        <f>IF(Calibration_Tool!B3='Constants and config'!G3,"AVAROS Register(hex)",IF(Calibration_Tool!B3='Constants and config'!G4,"BVAROS Register(hex)",IF(Calibration_Tool!B3='Constants and config'!G5,"CVAROS Register(hex)","")))</f>
        <v>AVAROS Register(hex)</v>
      </c>
      <c r="B95" s="2" t="e">
        <f>IF(B87='Constants and config'!K3,RIGHT(DEC2HEX(((B11*B9*B89/3600000)-B91)*(HEX2DEC(B27)*HEX2DEC(B24)*512/4096000)),8),IF(B87='Constants and config'!K4,RIGHT(DEC2HEX(((B25*B26*B89/B10*'Constants and config'!B11*B88*8000*2^-13)-HEX2DEC(B91))/(B88*8000*2^-13)),8),IF(B87='Constants and config'!K5,RIGHT(DEC2HEX(((-1*B91*B11/100)*(B9*B89/3600000)*HEX2DEC(B27)*HEX2DEC(B24)*512/4096000)),8),RIGHT(DEC2HEX(((B11-B91)*(B9*B89/3600000)*HEX2DEC(B27)*HEX2DEC(B24)*512/4096000)),8))))</f>
        <v>#DIV/0!</v>
      </c>
      <c r="C95" s="7"/>
    </row>
    <row r="96" spans="1:3" x14ac:dyDescent="0.2">
      <c r="A96" s="34" t="str">
        <f>IF(Calibration_Tool!B3='Constants and config'!G3,"AFWATTOS Register(hex)",IF(Calibration_Tool!B3='Constants and config'!G4,"BFWATTOS Register(hex)",IF(Calibration_Tool!B3='Constants and config'!G5,"CFWATTOS Register(hex)","")))</f>
        <v>AFWATTOS Register(hex)</v>
      </c>
      <c r="B96" s="2" t="e">
        <f>IF(B87='Constants and config'!K3,RIGHT(DEC2HEX(((B11*B9*B89/3600000)-B92)*(HEX2DEC(B27)*HEX2DEC(B24)*512/4096000)),8),IF(B87='Constants and config'!K4,RIGHT(DEC2HEX(((B25*B26*B89/B10*'Constants and config'!B11*B88*8000*2^-13)-HEX2DEC(B92))/(B88*8000*2^-13)),8),IF(B87='Constants and config'!K5,RIGHT(DEC2HEX(((-1*B92*B11/100)*(B9*B89/3600000)*HEX2DEC(B27)*HEX2DEC(B24)*512/4096000)),8),RIGHT(DEC2HEX(((B11-B92)*(B9*B89/3600000)*HEX2DEC(B27)*HEX2DEC(B24)*512/4096000)),8))))</f>
        <v>#DIV/0!</v>
      </c>
      <c r="C96" s="7"/>
    </row>
    <row r="97" spans="1:6" x14ac:dyDescent="0.2">
      <c r="A97" s="33" t="str">
        <f>IF(Calibration_Tool!B3='Constants and config'!G3,"AFVAROS Register(hex)",IF(Calibration_Tool!B3='Constants and config'!G4,"BFVAROS Register(hex)",IF(Calibration_Tool!B3='Constants and config'!G5,"CFVAROS Register(hex)","")))</f>
        <v>AFVAROS Register(hex)</v>
      </c>
      <c r="B97" s="2" t="e">
        <f>IF(B87='Constants and config'!K3,RIGHT(DEC2HEX(((B11*B9*B89/3600000)-B93)*(HEX2DEC(B27)*HEX2DEC(B24)*512/4096000)),8),IF(B87='Constants and config'!K4,RIGHT(DEC2HEX(((B25*B26*B89/B10*'Constants and config'!B11*B88*8000*2^-13)-HEX2DEC(B93))/(B88*8000*2^-13)),8),IF(B87='Constants and config'!K5,RIGHT(DEC2HEX(((-1*B93*B11/100)*(B9*B89/3600000)*HEX2DEC(B27)*HEX2DEC(B24)*512/4096000)),8),RIGHT(DEC2HEX(((B11-B93)*(B9*B89/3600000)*HEX2DEC(B27)*HEX2DEC(B24)*512/4096000)),8))))</f>
        <v>#DIV/0!</v>
      </c>
      <c r="C97" s="7"/>
    </row>
    <row r="98" spans="1:6" x14ac:dyDescent="0.2">
      <c r="A98" s="7"/>
      <c r="B98" s="5"/>
      <c r="C98" s="1"/>
    </row>
    <row r="99" spans="1:6" x14ac:dyDescent="0.2">
      <c r="A99" s="7"/>
      <c r="B99" s="7"/>
      <c r="C99" s="7"/>
    </row>
    <row r="100" spans="1:6" x14ac:dyDescent="0.2">
      <c r="A100" s="7"/>
      <c r="B100" s="7"/>
      <c r="C100" s="7"/>
    </row>
    <row r="101" spans="1:6" x14ac:dyDescent="0.2">
      <c r="A101" s="7"/>
      <c r="B101" s="7"/>
      <c r="C101" s="7"/>
    </row>
    <row r="102" spans="1:6" x14ac:dyDescent="0.2">
      <c r="A102" s="43" t="s">
        <v>71</v>
      </c>
      <c r="B102" s="44"/>
      <c r="C102" s="44"/>
    </row>
    <row r="103" spans="1:6" x14ac:dyDescent="0.2">
      <c r="A103" s="11" t="s">
        <v>88</v>
      </c>
      <c r="B103" s="11"/>
      <c r="C103" s="11" t="s">
        <v>89</v>
      </c>
    </row>
    <row r="104" spans="1:6" ht="16" x14ac:dyDescent="0.2">
      <c r="A104" s="13" t="s">
        <v>90</v>
      </c>
      <c r="B104" s="17" t="s">
        <v>196</v>
      </c>
      <c r="C104" s="13" t="s">
        <v>152</v>
      </c>
    </row>
    <row r="105" spans="1:6" x14ac:dyDescent="0.2">
      <c r="A105" s="11" t="s">
        <v>91</v>
      </c>
      <c r="B105" s="17" t="s">
        <v>196</v>
      </c>
      <c r="C105" s="11" t="s">
        <v>153</v>
      </c>
      <c r="F105" s="23"/>
    </row>
    <row r="106" spans="1:6" x14ac:dyDescent="0.2">
      <c r="A106" s="12" t="s">
        <v>92</v>
      </c>
      <c r="B106" s="17" t="s">
        <v>196</v>
      </c>
      <c r="C106" s="12" t="s">
        <v>154</v>
      </c>
      <c r="F106" s="23"/>
    </row>
    <row r="107" spans="1:6" x14ac:dyDescent="0.2">
      <c r="A107" s="11" t="s">
        <v>93</v>
      </c>
      <c r="B107" s="17" t="s">
        <v>196</v>
      </c>
      <c r="C107" s="11" t="s">
        <v>155</v>
      </c>
      <c r="F107" s="23"/>
    </row>
    <row r="108" spans="1:6" ht="16" x14ac:dyDescent="0.2">
      <c r="A108" s="13" t="s">
        <v>94</v>
      </c>
      <c r="B108" s="17" t="e">
        <v>#DIV/0!</v>
      </c>
      <c r="C108" s="13" t="s">
        <v>156</v>
      </c>
      <c r="F108" s="23"/>
    </row>
    <row r="109" spans="1:6" x14ac:dyDescent="0.2">
      <c r="A109" s="11" t="s">
        <v>121</v>
      </c>
      <c r="B109" s="17" t="e">
        <v>#DIV/0!</v>
      </c>
      <c r="C109" s="11" t="s">
        <v>157</v>
      </c>
      <c r="F109" s="23"/>
    </row>
    <row r="110" spans="1:6" x14ac:dyDescent="0.2">
      <c r="A110" s="12" t="s">
        <v>122</v>
      </c>
      <c r="B110" s="17" t="e">
        <v>#DIV/0!</v>
      </c>
      <c r="C110" s="12" t="s">
        <v>158</v>
      </c>
    </row>
    <row r="111" spans="1:6" x14ac:dyDescent="0.2">
      <c r="A111" s="11" t="s">
        <v>95</v>
      </c>
      <c r="B111" s="17" t="e">
        <v>#DIV/0!</v>
      </c>
      <c r="C111" s="11" t="s">
        <v>159</v>
      </c>
    </row>
    <row r="112" spans="1:6" ht="16" x14ac:dyDescent="0.2">
      <c r="A112" s="13" t="s">
        <v>96</v>
      </c>
      <c r="B112" s="17" t="s">
        <v>197</v>
      </c>
      <c r="C112" s="13" t="s">
        <v>161</v>
      </c>
    </row>
    <row r="113" spans="1:3" x14ac:dyDescent="0.2">
      <c r="A113" s="11" t="s">
        <v>97</v>
      </c>
      <c r="B113" s="17" t="s">
        <v>197</v>
      </c>
      <c r="C113" s="11" t="s">
        <v>160</v>
      </c>
    </row>
    <row r="114" spans="1:3" x14ac:dyDescent="0.2">
      <c r="A114" s="12" t="s">
        <v>98</v>
      </c>
      <c r="B114" s="17" t="e">
        <v>#DIV/0!</v>
      </c>
      <c r="C114" s="12" t="s">
        <v>162</v>
      </c>
    </row>
    <row r="115" spans="1:3" x14ac:dyDescent="0.2">
      <c r="A115" s="11" t="s">
        <v>99</v>
      </c>
      <c r="B115" s="17" t="e">
        <v>#DIV/0!</v>
      </c>
      <c r="C115" s="11" t="s">
        <v>163</v>
      </c>
    </row>
    <row r="116" spans="1:3" x14ac:dyDescent="0.2">
      <c r="A116" s="11" t="s">
        <v>144</v>
      </c>
      <c r="B116" s="17" t="s">
        <v>197</v>
      </c>
      <c r="C116" s="11" t="s">
        <v>164</v>
      </c>
    </row>
    <row r="117" spans="1:3" x14ac:dyDescent="0.2">
      <c r="A117" s="11" t="s">
        <v>145</v>
      </c>
      <c r="B117" s="17" t="s">
        <v>197</v>
      </c>
      <c r="C117" s="11" t="s">
        <v>165</v>
      </c>
    </row>
    <row r="118" spans="1:3" x14ac:dyDescent="0.2">
      <c r="A118" s="12" t="s">
        <v>146</v>
      </c>
      <c r="B118" s="17" t="e">
        <v>#DIV/0!</v>
      </c>
      <c r="C118" s="11" t="s">
        <v>166</v>
      </c>
    </row>
    <row r="119" spans="1:3" ht="16" x14ac:dyDescent="0.2">
      <c r="A119" s="13" t="s">
        <v>100</v>
      </c>
      <c r="B119" s="17" t="e">
        <v>#DIV/0!</v>
      </c>
      <c r="C119" s="13" t="s">
        <v>167</v>
      </c>
    </row>
    <row r="120" spans="1:3" x14ac:dyDescent="0.2">
      <c r="A120" s="11" t="s">
        <v>101</v>
      </c>
      <c r="B120" s="17"/>
      <c r="C120" s="11" t="s">
        <v>168</v>
      </c>
    </row>
    <row r="121" spans="1:3" x14ac:dyDescent="0.2">
      <c r="A121" s="12" t="s">
        <v>102</v>
      </c>
      <c r="B121" s="17"/>
      <c r="C121" s="12" t="s">
        <v>169</v>
      </c>
    </row>
    <row r="122" spans="1:3" x14ac:dyDescent="0.2">
      <c r="A122" s="11" t="s">
        <v>103</v>
      </c>
      <c r="B122" s="17"/>
      <c r="C122" s="11" t="s">
        <v>170</v>
      </c>
    </row>
    <row r="123" spans="1:3" ht="16" x14ac:dyDescent="0.2">
      <c r="A123" s="13" t="s">
        <v>104</v>
      </c>
      <c r="B123" s="17"/>
      <c r="C123" s="13" t="s">
        <v>171</v>
      </c>
    </row>
    <row r="124" spans="1:3" x14ac:dyDescent="0.2">
      <c r="A124" s="11" t="s">
        <v>105</v>
      </c>
      <c r="B124" s="17"/>
      <c r="C124" s="11" t="s">
        <v>172</v>
      </c>
    </row>
    <row r="125" spans="1:3" x14ac:dyDescent="0.2">
      <c r="A125" s="12" t="s">
        <v>106</v>
      </c>
      <c r="B125" s="17"/>
      <c r="C125" s="12" t="s">
        <v>173</v>
      </c>
    </row>
    <row r="126" spans="1:3" x14ac:dyDescent="0.2">
      <c r="A126" s="11" t="s">
        <v>107</v>
      </c>
      <c r="B126" s="17"/>
      <c r="C126" s="11" t="s">
        <v>174</v>
      </c>
    </row>
    <row r="127" spans="1:3" ht="16" x14ac:dyDescent="0.2">
      <c r="A127" s="13" t="s">
        <v>108</v>
      </c>
      <c r="B127" s="17"/>
      <c r="C127" s="13" t="s">
        <v>175</v>
      </c>
    </row>
    <row r="128" spans="1:3" ht="16" x14ac:dyDescent="0.2">
      <c r="A128" s="11" t="s">
        <v>141</v>
      </c>
      <c r="B128" s="17"/>
      <c r="C128" s="13" t="s">
        <v>176</v>
      </c>
    </row>
    <row r="129" spans="1:3" ht="16" x14ac:dyDescent="0.2">
      <c r="A129" s="11" t="s">
        <v>142</v>
      </c>
      <c r="B129" s="17"/>
      <c r="C129" s="13" t="s">
        <v>177</v>
      </c>
    </row>
    <row r="130" spans="1:3" ht="16" x14ac:dyDescent="0.2">
      <c r="A130" s="12" t="s">
        <v>143</v>
      </c>
      <c r="B130" s="17"/>
      <c r="C130" s="13" t="s">
        <v>178</v>
      </c>
    </row>
    <row r="131" spans="1:3" x14ac:dyDescent="0.2">
      <c r="A131" s="11" t="s">
        <v>109</v>
      </c>
      <c r="B131" s="17"/>
      <c r="C131" s="11" t="s">
        <v>179</v>
      </c>
    </row>
    <row r="132" spans="1:3" x14ac:dyDescent="0.2">
      <c r="A132" s="12" t="s">
        <v>110</v>
      </c>
      <c r="B132" s="17"/>
      <c r="C132" s="12" t="s">
        <v>180</v>
      </c>
    </row>
    <row r="133" spans="1:3" x14ac:dyDescent="0.2">
      <c r="A133" s="11" t="s">
        <v>111</v>
      </c>
      <c r="B133" s="17"/>
      <c r="C133" s="11" t="s">
        <v>181</v>
      </c>
    </row>
    <row r="134" spans="1:3" ht="16" x14ac:dyDescent="0.2">
      <c r="A134" s="13" t="s">
        <v>112</v>
      </c>
      <c r="B134" s="17"/>
      <c r="C134" s="13" t="s">
        <v>182</v>
      </c>
    </row>
    <row r="135" spans="1:3" x14ac:dyDescent="0.2">
      <c r="A135" s="11" t="s">
        <v>113</v>
      </c>
      <c r="B135" s="17"/>
      <c r="C135" s="11" t="s">
        <v>183</v>
      </c>
    </row>
    <row r="136" spans="1:3" x14ac:dyDescent="0.2">
      <c r="A136" s="12" t="s">
        <v>114</v>
      </c>
      <c r="B136" s="17"/>
      <c r="C136" s="12" t="s">
        <v>184</v>
      </c>
    </row>
    <row r="137" spans="1:3" x14ac:dyDescent="0.2">
      <c r="A137" s="11" t="s">
        <v>115</v>
      </c>
      <c r="B137" s="17"/>
      <c r="C137" s="11" t="s">
        <v>185</v>
      </c>
    </row>
    <row r="138" spans="1:3" ht="16" x14ac:dyDescent="0.2">
      <c r="A138" s="13" t="s">
        <v>116</v>
      </c>
      <c r="B138" s="17"/>
      <c r="C138" s="13" t="s">
        <v>186</v>
      </c>
    </row>
    <row r="139" spans="1:3" x14ac:dyDescent="0.2">
      <c r="A139" s="11" t="s">
        <v>117</v>
      </c>
      <c r="B139" s="17"/>
      <c r="C139" s="11" t="s">
        <v>187</v>
      </c>
    </row>
    <row r="140" spans="1:3" x14ac:dyDescent="0.2">
      <c r="A140" s="11" t="s">
        <v>139</v>
      </c>
      <c r="B140" s="17"/>
      <c r="C140" s="11" t="s">
        <v>188</v>
      </c>
    </row>
    <row r="141" spans="1:3" x14ac:dyDescent="0.2">
      <c r="A141" s="11" t="s">
        <v>140</v>
      </c>
      <c r="B141" s="17"/>
      <c r="C141" s="11" t="s">
        <v>189</v>
      </c>
    </row>
    <row r="142" spans="1:3" x14ac:dyDescent="0.2">
      <c r="A142" s="12" t="s">
        <v>138</v>
      </c>
      <c r="B142" s="17"/>
      <c r="C142" s="11" t="s">
        <v>190</v>
      </c>
    </row>
    <row r="143" spans="1:3" x14ac:dyDescent="0.2">
      <c r="A143" s="12" t="s">
        <v>118</v>
      </c>
      <c r="B143" s="17"/>
      <c r="C143" s="12" t="s">
        <v>191</v>
      </c>
    </row>
    <row r="144" spans="1:3" x14ac:dyDescent="0.2">
      <c r="A144" s="11" t="s">
        <v>119</v>
      </c>
      <c r="B144" s="17"/>
      <c r="C144" s="11" t="s">
        <v>192</v>
      </c>
    </row>
    <row r="145" spans="1:3" ht="16" x14ac:dyDescent="0.2">
      <c r="A145" s="13" t="s">
        <v>123</v>
      </c>
      <c r="B145" s="17"/>
      <c r="C145" s="13" t="s">
        <v>193</v>
      </c>
    </row>
    <row r="146" spans="1:3" x14ac:dyDescent="0.2">
      <c r="A146" s="11" t="s">
        <v>120</v>
      </c>
      <c r="B146" s="17"/>
      <c r="C146" s="11" t="s">
        <v>194</v>
      </c>
    </row>
    <row r="147" spans="1:3" x14ac:dyDescent="0.2">
      <c r="A147" s="7"/>
      <c r="B147" s="7"/>
      <c r="C147" s="7"/>
    </row>
    <row r="148" spans="1:3" x14ac:dyDescent="0.2">
      <c r="A148" s="7"/>
      <c r="B148" s="7"/>
      <c r="C148" s="7"/>
    </row>
    <row r="149" spans="1:3" x14ac:dyDescent="0.2">
      <c r="A149" s="7"/>
      <c r="B149" s="7"/>
      <c r="C149" s="7"/>
    </row>
  </sheetData>
  <sheetProtection sheet="1" objects="1" scenarios="1"/>
  <mergeCells count="1">
    <mergeCell ref="A102:C10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Button17_Click">
                <anchor moveWithCells="1">
                  <from>
                    <xdr:col>1</xdr:col>
                    <xdr:colOff>1016000</xdr:colOff>
                    <xdr:row>97</xdr:row>
                    <xdr:rowOff>152400</xdr:rowOff>
                  </from>
                  <to>
                    <xdr:col>1</xdr:col>
                    <xdr:colOff>2425700</xdr:colOff>
                    <xdr:row>100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0000000}">
          <x14:formula1>
            <xm:f>'Constants and config'!$A$3:$A$4</xm:f>
          </x14:formula1>
          <xm:sqref>B7:B8</xm:sqref>
        </x14:dataValidation>
        <x14:dataValidation type="list" allowBlank="1" showInputMessage="1" showErrorMessage="1" xr:uid="{00000000-0002-0000-0100-000001000000}">
          <x14:formula1>
            <xm:f>'Constants and config'!$C$3:$C$5</xm:f>
          </x14:formula1>
          <xm:sqref>B6</xm:sqref>
        </x14:dataValidation>
        <x14:dataValidation type="list" allowBlank="1" showInputMessage="1" showErrorMessage="1" promptTitle="Select Channel" xr:uid="{00000000-0002-0000-0100-000002000000}">
          <x14:formula1>
            <xm:f>'Constants and config'!$G$3:$G$6</xm:f>
          </x14:formula1>
          <xm:sqref>B3</xm:sqref>
        </x14:dataValidation>
        <x14:dataValidation type="list" allowBlank="1" showInputMessage="1" showErrorMessage="1" xr:uid="{00000000-0002-0000-0100-000003000000}">
          <x14:formula1>
            <xm:f>'Constants and config'!$I$3:$I$4</xm:f>
          </x14:formula1>
          <xm:sqref>B35</xm:sqref>
        </x14:dataValidation>
        <x14:dataValidation type="list" allowBlank="1" showInputMessage="1" showErrorMessage="1" xr:uid="{00000000-0002-0000-0100-000004000000}">
          <x14:formula1>
            <xm:f>'Constants and config'!$J$3:$J$6</xm:f>
          </x14:formula1>
          <xm:sqref>B62</xm:sqref>
        </x14:dataValidation>
        <x14:dataValidation type="list" allowBlank="1" showInputMessage="1" showErrorMessage="1" xr:uid="{00000000-0002-0000-0100-000005000000}">
          <x14:formula1>
            <xm:f>'Constants and config'!$K$3:$K$6</xm:f>
          </x14:formula1>
          <xm:sqref>B73 B87</xm:sqref>
        </x14:dataValidation>
        <x14:dataValidation type="list" allowBlank="1" showInputMessage="1" showErrorMessage="1" xr:uid="{00000000-0002-0000-0100-000006000000}">
          <x14:formula1>
            <xm:f>'Constants and config'!$B$3:$B$5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106"/>
  <sheetViews>
    <sheetView zoomScaleNormal="100" workbookViewId="0">
      <selection activeCell="B11" sqref="B11"/>
    </sheetView>
  </sheetViews>
  <sheetFormatPr baseColWidth="10" defaultColWidth="8.83203125" defaultRowHeight="15" x14ac:dyDescent="0.2"/>
  <cols>
    <col min="1" max="1" width="23.1640625" bestFit="1" customWidth="1"/>
    <col min="2" max="2" width="19.6640625" customWidth="1"/>
    <col min="3" max="3" width="18" bestFit="1" customWidth="1"/>
    <col min="6" max="6" width="10.33203125" bestFit="1" customWidth="1"/>
    <col min="7" max="7" width="15.5" customWidth="1"/>
    <col min="8" max="8" width="23.1640625" bestFit="1" customWidth="1"/>
    <col min="9" max="9" width="45.33203125" bestFit="1" customWidth="1"/>
    <col min="10" max="10" width="28.83203125" bestFit="1" customWidth="1"/>
    <col min="11" max="11" width="26.5" customWidth="1"/>
  </cols>
  <sheetData>
    <row r="1" spans="1:13" x14ac:dyDescent="0.2">
      <c r="A1" s="35" t="s">
        <v>134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x14ac:dyDescent="0.2">
      <c r="A2" s="28" t="s">
        <v>2</v>
      </c>
      <c r="B2" s="28" t="s">
        <v>1</v>
      </c>
      <c r="C2" s="28" t="s">
        <v>5</v>
      </c>
      <c r="D2" s="28" t="s">
        <v>15</v>
      </c>
      <c r="E2" s="28"/>
      <c r="F2" s="28" t="s">
        <v>135</v>
      </c>
      <c r="G2" s="28" t="s">
        <v>37</v>
      </c>
      <c r="H2" s="28" t="s">
        <v>42</v>
      </c>
      <c r="I2" s="28" t="s">
        <v>56</v>
      </c>
      <c r="J2" s="28" t="s">
        <v>57</v>
      </c>
      <c r="K2" s="28" t="s">
        <v>58</v>
      </c>
      <c r="L2" s="28"/>
      <c r="M2" s="28"/>
    </row>
    <row r="3" spans="1:13" x14ac:dyDescent="0.2">
      <c r="A3" s="28" t="s">
        <v>3</v>
      </c>
      <c r="B3" s="28" t="s">
        <v>6</v>
      </c>
      <c r="C3" s="28" t="s">
        <v>8</v>
      </c>
      <c r="D3" s="28">
        <v>50</v>
      </c>
      <c r="E3" s="28"/>
      <c r="F3" s="28">
        <v>1</v>
      </c>
      <c r="G3" s="28" t="s">
        <v>38</v>
      </c>
      <c r="H3" s="28" t="s">
        <v>43</v>
      </c>
      <c r="I3" s="28" t="s">
        <v>59</v>
      </c>
      <c r="J3" s="28" t="s">
        <v>43</v>
      </c>
      <c r="K3" s="28" t="s">
        <v>43</v>
      </c>
      <c r="L3" s="28"/>
      <c r="M3" s="28"/>
    </row>
    <row r="4" spans="1:13" x14ac:dyDescent="0.2">
      <c r="A4" s="28" t="s">
        <v>4</v>
      </c>
      <c r="B4" s="28" t="s">
        <v>7</v>
      </c>
      <c r="C4" s="28" t="s">
        <v>9</v>
      </c>
      <c r="D4" s="28">
        <v>60</v>
      </c>
      <c r="E4" s="28"/>
      <c r="F4" s="28">
        <v>2</v>
      </c>
      <c r="G4" s="28" t="s">
        <v>39</v>
      </c>
      <c r="H4" s="28" t="s">
        <v>44</v>
      </c>
      <c r="I4" s="28" t="s">
        <v>125</v>
      </c>
      <c r="J4" s="28" t="s">
        <v>59</v>
      </c>
      <c r="K4" s="28" t="s">
        <v>59</v>
      </c>
      <c r="L4" s="28"/>
      <c r="M4" s="28"/>
    </row>
    <row r="5" spans="1:13" x14ac:dyDescent="0.2">
      <c r="A5" s="28"/>
      <c r="B5" s="28" t="s">
        <v>10</v>
      </c>
      <c r="C5" s="28" t="s">
        <v>10</v>
      </c>
      <c r="D5" s="28"/>
      <c r="E5" s="28"/>
      <c r="F5" s="28">
        <v>4</v>
      </c>
      <c r="G5" s="28" t="s">
        <v>40</v>
      </c>
      <c r="H5" s="28" t="s">
        <v>45</v>
      </c>
      <c r="I5" s="28"/>
      <c r="J5" s="28" t="s">
        <v>130</v>
      </c>
      <c r="K5" s="28" t="s">
        <v>130</v>
      </c>
      <c r="L5" s="28"/>
      <c r="M5" s="28"/>
    </row>
    <row r="6" spans="1:13" x14ac:dyDescent="0.2">
      <c r="A6" s="28"/>
      <c r="B6" s="28"/>
      <c r="C6" s="28"/>
      <c r="D6" s="28"/>
      <c r="E6" s="28"/>
      <c r="F6" s="28"/>
      <c r="G6" s="28" t="s">
        <v>41</v>
      </c>
      <c r="H6" s="28"/>
      <c r="I6" s="28"/>
      <c r="J6" s="28" t="s">
        <v>60</v>
      </c>
      <c r="K6" s="28" t="s">
        <v>60</v>
      </c>
      <c r="L6" s="28"/>
      <c r="M6" s="28"/>
    </row>
    <row r="7" spans="1:13" x14ac:dyDescent="0.2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</row>
    <row r="8" spans="1:13" x14ac:dyDescent="0.2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3" x14ac:dyDescent="0.2">
      <c r="A9" s="28" t="s">
        <v>11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</row>
    <row r="10" spans="1:13" x14ac:dyDescent="0.2">
      <c r="A10" s="28" t="s">
        <v>12</v>
      </c>
      <c r="B10" s="29">
        <v>52702092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3" x14ac:dyDescent="0.2">
      <c r="A11" s="28" t="s">
        <v>13</v>
      </c>
      <c r="B11" s="29">
        <v>20694066</v>
      </c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</row>
    <row r="12" spans="1:13" x14ac:dyDescent="0.2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3" x14ac:dyDescent="0.2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</row>
    <row r="14" spans="1:13" x14ac:dyDescent="0.2">
      <c r="A14" s="28" t="s">
        <v>15</v>
      </c>
      <c r="B14" s="28" t="str">
        <f>Calibration_Tool!B4</f>
        <v>50.0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</row>
    <row r="15" spans="1:13" x14ac:dyDescent="0.2">
      <c r="A15" s="28" t="s">
        <v>16</v>
      </c>
      <c r="B15" s="28">
        <v>8000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</row>
    <row r="16" spans="1:13" x14ac:dyDescent="0.2">
      <c r="A16" s="28" t="s">
        <v>17</v>
      </c>
      <c r="B16" s="28" t="e">
        <f>2*PI()*B14/B15</f>
        <v>#VALUE!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x14ac:dyDescent="0.2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</row>
    <row r="18" spans="1:13" x14ac:dyDescent="0.2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x14ac:dyDescent="0.2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</row>
    <row r="20" spans="1:13" x14ac:dyDescent="0.2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x14ac:dyDescent="0.2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</row>
    <row r="22" spans="1:13" x14ac:dyDescent="0.2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x14ac:dyDescent="0.2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</row>
    <row r="24" spans="1:13" x14ac:dyDescent="0.2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</row>
    <row r="25" spans="1:13" x14ac:dyDescent="0.2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1:13" x14ac:dyDescent="0.2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106" spans="1:1" x14ac:dyDescent="0.2">
      <c r="A106" t="s">
        <v>46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Configuration Guide</vt:lpstr>
      <vt:lpstr>Calibration_Tool</vt:lpstr>
      <vt:lpstr>Constants and config</vt:lpstr>
      <vt:lpstr>Current_Sensor_Type</vt:lpstr>
      <vt:lpstr>fDSP</vt:lpstr>
      <vt:lpstr>Voltage_Sensor_Type</vt:lpstr>
    </vt:vector>
  </TitlesOfParts>
  <Company>Analog Devices,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Chandrappa, Niranjan</dc:creator>
  <cp:lastModifiedBy>Microsoft Office User</cp:lastModifiedBy>
  <cp:lastPrinted>2016-06-15T15:07:08Z</cp:lastPrinted>
  <dcterms:created xsi:type="dcterms:W3CDTF">2016-06-15T15:03:14Z</dcterms:created>
  <dcterms:modified xsi:type="dcterms:W3CDTF">2021-08-11T12:58:56Z</dcterms:modified>
</cp:coreProperties>
</file>